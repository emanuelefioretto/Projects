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d6624af3ae32ff/Documenti/Università/Progetti/Coca Cola/"/>
    </mc:Choice>
  </mc:AlternateContent>
  <xr:revisionPtr revIDLastSave="923" documentId="8_{98F66A84-9245-4E1F-8E4F-E28F5200DEBF}" xr6:coauthVersionLast="47" xr6:coauthVersionMax="47" xr10:uidLastSave="{08DAC77D-E479-4AF8-BC25-4A296D6DFCE7}"/>
  <bookViews>
    <workbookView xWindow="-120" yWindow="-120" windowWidth="29040" windowHeight="15720" activeTab="2" xr2:uid="{272947E3-E84D-4E8E-9D69-57E74FAD4E6A}"/>
  </bookViews>
  <sheets>
    <sheet name="Storico" sheetId="1" r:id="rId1"/>
    <sheet name="Analysis" sheetId="2" r:id="rId2"/>
    <sheet name="DCF" sheetId="3" r:id="rId3"/>
    <sheet name="WAC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2" i="3" l="1"/>
  <c r="E49" i="3" l="1"/>
  <c r="F49" i="3" s="1"/>
  <c r="A51" i="3"/>
  <c r="A50" i="3" s="1"/>
  <c r="B45" i="3"/>
  <c r="B40" i="3" s="1"/>
  <c r="B43" i="3" s="1"/>
  <c r="B36" i="3"/>
  <c r="B35" i="3"/>
  <c r="B34" i="3"/>
  <c r="F28" i="3"/>
  <c r="G28" i="3" s="1"/>
  <c r="H28" i="3" s="1"/>
  <c r="I28" i="3" s="1"/>
  <c r="J28" i="3" s="1"/>
  <c r="C49" i="3" l="1"/>
  <c r="B49" i="3" s="1"/>
  <c r="A53" i="3"/>
  <c r="A54" i="3" s="1"/>
  <c r="B24" i="3" l="1"/>
  <c r="J29" i="3" s="1"/>
  <c r="B15" i="4"/>
  <c r="D14" i="4"/>
  <c r="D13" i="4"/>
  <c r="B9" i="4"/>
  <c r="E9" i="4"/>
  <c r="B10" i="4"/>
  <c r="B1" i="4"/>
  <c r="E1" i="4"/>
  <c r="E5" i="4"/>
  <c r="E6" i="4"/>
  <c r="E4" i="4"/>
  <c r="C19" i="3"/>
  <c r="C20" i="3"/>
  <c r="D20" i="3"/>
  <c r="B20" i="3"/>
  <c r="D19" i="3"/>
  <c r="B19" i="3"/>
  <c r="F17" i="2"/>
  <c r="F19" i="2"/>
  <c r="F20" i="2"/>
  <c r="F18" i="2"/>
  <c r="C4" i="3"/>
  <c r="D4" i="3"/>
  <c r="B4" i="3"/>
  <c r="C17" i="2"/>
  <c r="D17" i="2"/>
  <c r="B17" i="2"/>
  <c r="C20" i="2"/>
  <c r="D20" i="2"/>
  <c r="B20" i="2"/>
  <c r="C19" i="2"/>
  <c r="D19" i="2"/>
  <c r="B19" i="2"/>
  <c r="C15" i="2"/>
  <c r="D15" i="2"/>
  <c r="B15" i="2"/>
  <c r="C7" i="3"/>
  <c r="D7" i="3"/>
  <c r="B7" i="3"/>
  <c r="B2" i="3"/>
  <c r="D2" i="3"/>
  <c r="E2" i="3" s="1"/>
  <c r="E18" i="3" s="1"/>
  <c r="C2" i="3"/>
  <c r="B32" i="1"/>
  <c r="B17" i="3" s="1"/>
  <c r="D21" i="3" l="1"/>
  <c r="B21" i="3"/>
  <c r="G29" i="3"/>
  <c r="H29" i="3"/>
  <c r="I29" i="3"/>
  <c r="E29" i="3"/>
  <c r="F29" i="3"/>
  <c r="C21" i="3"/>
  <c r="B18" i="3"/>
  <c r="E20" i="3"/>
  <c r="E7" i="4"/>
  <c r="B8" i="3"/>
  <c r="C8" i="3"/>
  <c r="E16" i="3"/>
  <c r="C3" i="3"/>
  <c r="F2" i="3"/>
  <c r="E5" i="3"/>
  <c r="E19" i="3" s="1"/>
  <c r="D8" i="3"/>
  <c r="D3" i="3"/>
  <c r="D12" i="2"/>
  <c r="C11" i="2"/>
  <c r="C12" i="2" s="1"/>
  <c r="C16" i="2" s="1"/>
  <c r="D11" i="2"/>
  <c r="B11" i="2"/>
  <c r="B12" i="2" s="1"/>
  <c r="D7" i="2"/>
  <c r="B2" i="2"/>
  <c r="B18" i="2" s="1"/>
  <c r="C2" i="2"/>
  <c r="C18" i="2" s="1"/>
  <c r="D2" i="2"/>
  <c r="B59" i="1"/>
  <c r="C59" i="1"/>
  <c r="D59" i="1"/>
  <c r="B30" i="1"/>
  <c r="C30" i="1"/>
  <c r="D30" i="1"/>
  <c r="B31" i="1"/>
  <c r="B15" i="3" s="1"/>
  <c r="B16" i="3" s="1"/>
  <c r="C31" i="1"/>
  <c r="C15" i="3" s="1"/>
  <c r="C16" i="3" s="1"/>
  <c r="D31" i="1"/>
  <c r="D15" i="3" s="1"/>
  <c r="D16" i="3" s="1"/>
  <c r="C32" i="1"/>
  <c r="C17" i="3" s="1"/>
  <c r="C18" i="3" s="1"/>
  <c r="D32" i="1"/>
  <c r="D17" i="3" s="1"/>
  <c r="D18" i="3" s="1"/>
  <c r="B7" i="1"/>
  <c r="C7" i="1"/>
  <c r="D7" i="1"/>
  <c r="C11" i="1"/>
  <c r="C12" i="1"/>
  <c r="C14" i="1"/>
  <c r="C19" i="1"/>
  <c r="C22" i="1" s="1"/>
  <c r="C21" i="1"/>
  <c r="C22" i="3" l="1"/>
  <c r="E21" i="3"/>
  <c r="E22" i="3" s="1"/>
  <c r="E8" i="3"/>
  <c r="E7" i="3" s="1"/>
  <c r="E9" i="3" s="1"/>
  <c r="G8" i="3"/>
  <c r="D22" i="3"/>
  <c r="F20" i="3"/>
  <c r="D14" i="2"/>
  <c r="D16" i="2"/>
  <c r="D5" i="2"/>
  <c r="D18" i="2"/>
  <c r="B14" i="2"/>
  <c r="B16" i="2"/>
  <c r="C14" i="2"/>
  <c r="C13" i="2"/>
  <c r="B8" i="1"/>
  <c r="B7" i="2"/>
  <c r="B5" i="3"/>
  <c r="B9" i="3" s="1"/>
  <c r="D13" i="2"/>
  <c r="F18" i="3"/>
  <c r="F16" i="3"/>
  <c r="D8" i="1"/>
  <c r="D5" i="3"/>
  <c r="C8" i="1"/>
  <c r="C5" i="3"/>
  <c r="C7" i="2"/>
  <c r="H8" i="3"/>
  <c r="F8" i="3"/>
  <c r="F7" i="3" s="1"/>
  <c r="I8" i="3"/>
  <c r="G2" i="3"/>
  <c r="F5" i="3"/>
  <c r="F19" i="3" s="1"/>
  <c r="F21" i="3" s="1"/>
  <c r="C5" i="2"/>
  <c r="C8" i="2"/>
  <c r="C3" i="2"/>
  <c r="D6" i="2"/>
  <c r="C6" i="2"/>
  <c r="B6" i="2"/>
  <c r="D3" i="2"/>
  <c r="B4" i="2"/>
  <c r="B5" i="2"/>
  <c r="D8" i="2"/>
  <c r="B8" i="2"/>
  <c r="D11" i="1"/>
  <c r="B11" i="1"/>
  <c r="F22" i="3" l="1"/>
  <c r="G20" i="3"/>
  <c r="B6" i="3"/>
  <c r="B10" i="3"/>
  <c r="C9" i="3"/>
  <c r="C10" i="3" s="1"/>
  <c r="C6" i="3"/>
  <c r="F9" i="3"/>
  <c r="F13" i="3" s="1"/>
  <c r="F14" i="3" s="1"/>
  <c r="G18" i="3"/>
  <c r="G16" i="3"/>
  <c r="D9" i="3"/>
  <c r="D10" i="3" s="1"/>
  <c r="D6" i="3"/>
  <c r="E10" i="3"/>
  <c r="E13" i="3"/>
  <c r="E14" i="3" s="1"/>
  <c r="E26" i="3" s="1"/>
  <c r="H2" i="3"/>
  <c r="G5" i="3"/>
  <c r="G19" i="3" s="1"/>
  <c r="G7" i="3"/>
  <c r="D19" i="1"/>
  <c r="D14" i="1"/>
  <c r="D12" i="1"/>
  <c r="B12" i="1"/>
  <c r="B14" i="1"/>
  <c r="B19" i="1"/>
  <c r="F26" i="3" l="1"/>
  <c r="F27" i="3" s="1"/>
  <c r="G21" i="3"/>
  <c r="G22" i="3" s="1"/>
  <c r="E27" i="3"/>
  <c r="E30" i="3"/>
  <c r="H20" i="3"/>
  <c r="F10" i="3"/>
  <c r="G9" i="3"/>
  <c r="H18" i="3"/>
  <c r="H16" i="3"/>
  <c r="I2" i="3"/>
  <c r="H5" i="3"/>
  <c r="H19" i="3" s="1"/>
  <c r="H7" i="3"/>
  <c r="B21" i="1"/>
  <c r="B22" i="1"/>
  <c r="D21" i="1"/>
  <c r="D22" i="1"/>
  <c r="F30" i="3" l="1"/>
  <c r="H21" i="3"/>
  <c r="H22" i="3" s="1"/>
  <c r="G10" i="3"/>
  <c r="G13" i="3"/>
  <c r="G14" i="3" s="1"/>
  <c r="G26" i="3" s="1"/>
  <c r="I20" i="3"/>
  <c r="I16" i="3"/>
  <c r="I18" i="3"/>
  <c r="H9" i="3"/>
  <c r="I5" i="3"/>
  <c r="I19" i="3" s="1"/>
  <c r="I7" i="3"/>
  <c r="I21" i="3" l="1"/>
  <c r="I22" i="3" s="1"/>
  <c r="G30" i="3"/>
  <c r="G27" i="3"/>
  <c r="I9" i="3"/>
  <c r="H13" i="3"/>
  <c r="H14" i="3" s="1"/>
  <c r="H26" i="3" s="1"/>
  <c r="H10" i="3"/>
  <c r="H30" i="3" l="1"/>
  <c r="H27" i="3"/>
  <c r="I13" i="3"/>
  <c r="I14" i="3" s="1"/>
  <c r="I26" i="3" s="1"/>
  <c r="J26" i="3" s="1"/>
  <c r="J30" i="3" s="1"/>
  <c r="I10" i="3"/>
  <c r="I27" i="3" l="1"/>
  <c r="I30" i="3"/>
  <c r="B32" i="3" s="1"/>
  <c r="B37" i="3" s="1"/>
  <c r="B44" i="3" s="1"/>
  <c r="A49" i="3" s="1"/>
  <c r="B46" i="3" l="1"/>
  <c r="B3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Emanuele Fioretto</author>
  </authors>
  <commentList>
    <comment ref="B42" authorId="0" shapeId="0" xr:uid="{49125D2E-57B5-4791-9B43-93F322130124}">
      <text>
        <r>
          <rPr>
            <b/>
            <sz val="9"/>
            <color indexed="81"/>
            <rFont val="Tahoma"/>
            <charset val="1"/>
          </rPr>
          <t>Emanuele Fioretto:</t>
        </r>
        <r>
          <rPr>
            <sz val="9"/>
            <color indexed="81"/>
            <rFont val="Tahoma"/>
            <charset val="1"/>
          </rPr>
          <t xml:space="preserve">
2023 balance sheet taken from the FY2023 10-K as originally reported. That filing has no separate 'held for sale' lines, so related items may sit inside other lines and 2023 is not fully comparable with 2024-2025.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Emanuele Fioretto</author>
  </authors>
  <commentList>
    <comment ref="E12" authorId="0" shapeId="0" xr:uid="{2311EA3E-6D13-46B3-B5A7-44B77F577527}">
      <text>
        <r>
          <rPr>
            <b/>
            <sz val="9"/>
            <color indexed="81"/>
            <rFont val="Tahoma"/>
            <family val="2"/>
          </rPr>
          <t>Emanuele Fioretto:</t>
        </r>
        <r>
          <rPr>
            <sz val="9"/>
            <color indexed="81"/>
            <rFont val="Tahoma"/>
            <family val="2"/>
          </rPr>
          <t xml:space="preserve">
company guidance from 10-k, effective tax rate expected for 2026
</t>
        </r>
      </text>
    </comment>
    <comment ref="E15" authorId="0" shapeId="0" xr:uid="{7E098DED-F457-4ACB-A099-F8846D2DB21E}">
      <text>
        <r>
          <rPr>
            <b/>
            <sz val="9"/>
            <color indexed="81"/>
            <rFont val="Tahoma"/>
            <charset val="1"/>
          </rPr>
          <t>Emanuele Fioretto:</t>
        </r>
        <r>
          <rPr>
            <sz val="9"/>
            <color indexed="81"/>
            <rFont val="Tahoma"/>
            <charset val="1"/>
          </rPr>
          <t xml:space="preserve">
capex going down long term cause the company cannot grow too much indefinetly but has to converge to g
</t>
        </r>
      </text>
    </comment>
    <comment ref="E17" authorId="0" shapeId="0" xr:uid="{691003B8-CD93-49F7-A414-B9CBA04A7FAB}">
      <text>
        <r>
          <rPr>
            <b/>
            <sz val="9"/>
            <color indexed="81"/>
            <rFont val="Tahoma"/>
            <charset val="1"/>
          </rPr>
          <t>Emanuele Fioretto:</t>
        </r>
        <r>
          <rPr>
            <sz val="9"/>
            <color indexed="81"/>
            <rFont val="Tahoma"/>
            <charset val="1"/>
          </rPr>
          <t xml:space="preserve">
d&amp;a converging towards capex long term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Emanuele Fioretto</author>
  </authors>
  <commentList>
    <comment ref="H1" authorId="0" shapeId="0" xr:uid="{148BF752-911C-4ED3-BAE3-2699B265A1F1}">
      <text>
        <r>
          <rPr>
            <b/>
            <sz val="9"/>
            <color indexed="81"/>
            <rFont val="Tahoma"/>
            <charset val="1"/>
          </rPr>
          <t>Emanuele Fioretto:</t>
        </r>
        <r>
          <rPr>
            <sz val="9"/>
            <color indexed="81"/>
            <rFont val="Tahoma"/>
            <charset val="1"/>
          </rPr>
          <t xml:space="preserve">
10y treasury bill yield 
at 31 december 2025
</t>
        </r>
      </text>
    </comment>
    <comment ref="K1" authorId="0" shapeId="0" xr:uid="{8D194E22-E642-4A0B-B76B-FB09C7DF2A61}">
      <text>
        <r>
          <rPr>
            <b/>
            <sz val="9"/>
            <color indexed="81"/>
            <rFont val="Tahoma"/>
            <family val="2"/>
          </rPr>
          <t>Emanuele Fioretto:</t>
        </r>
        <r>
          <rPr>
            <sz val="9"/>
            <color indexed="81"/>
            <rFont val="Tahoma"/>
            <family val="2"/>
          </rPr>
          <t xml:space="preserve">
from damodaran
</t>
        </r>
      </text>
    </comment>
    <comment ref="N1" authorId="0" shapeId="0" xr:uid="{9B77BAAD-55E3-4DE4-9F63-20B72064CC62}">
      <text>
        <r>
          <rPr>
            <b/>
            <sz val="9"/>
            <color indexed="81"/>
            <rFont val="Tahoma"/>
            <family val="2"/>
          </rPr>
          <t>Emanuele Fioretto:</t>
        </r>
        <r>
          <rPr>
            <sz val="9"/>
            <color indexed="81"/>
            <rFont val="Tahoma"/>
            <family val="2"/>
          </rPr>
          <t xml:space="preserve">
from damodaran
</t>
        </r>
      </text>
    </comment>
    <comment ref="B11" authorId="0" shapeId="0" xr:uid="{9549664C-D864-421D-B852-829AD568B196}">
      <text>
        <r>
          <rPr>
            <b/>
            <sz val="9"/>
            <color indexed="81"/>
            <rFont val="Tahoma"/>
            <family val="2"/>
          </rPr>
          <t>Emanuele Fioretto:</t>
        </r>
        <r>
          <rPr>
            <sz val="9"/>
            <color indexed="81"/>
            <rFont val="Tahoma"/>
            <family val="2"/>
          </rPr>
          <t xml:space="preserve">
from damodaran</t>
        </r>
      </text>
    </comment>
    <comment ref="B13" authorId="0" shapeId="0" xr:uid="{34BF2DF0-6A95-4ACF-A362-E3959B1D85F5}">
      <text>
        <r>
          <rPr>
            <b/>
            <sz val="9"/>
            <color indexed="81"/>
            <rFont val="Tahoma"/>
            <family val="2"/>
          </rPr>
          <t>Emanuele Fioretto:</t>
        </r>
        <r>
          <rPr>
            <sz val="9"/>
            <color indexed="81"/>
            <rFont val="Tahoma"/>
            <family val="2"/>
          </rPr>
          <t xml:space="preserve">
from damodaran
</t>
        </r>
      </text>
    </comment>
  </commentList>
</comments>
</file>

<file path=xl/sharedStrings.xml><?xml version="1.0" encoding="utf-8"?>
<sst xmlns="http://schemas.openxmlformats.org/spreadsheetml/2006/main" count="153" uniqueCount="146">
  <si>
    <t>The Coca-Cola Company (KO) – DCF Model</t>
  </si>
  <si>
    <t>Historical data from the FY2025 and FY2023 Form 10-K · $ millions unless stated otherwise · Valuation date: December 31, 2025</t>
  </si>
  <si>
    <t>INCOME STATEMENT ($ mm)</t>
  </si>
  <si>
    <t>Net operating revenues</t>
  </si>
  <si>
    <t>Cost of goods sold</t>
  </si>
  <si>
    <t>Gross profit</t>
  </si>
  <si>
    <t xml:space="preserve">  Gross margin %</t>
  </si>
  <si>
    <t>Selling, general &amp; administrative expenses (SG&amp;A)</t>
  </si>
  <si>
    <t>Other operating charges</t>
  </si>
  <si>
    <t>Operating income (EBIT, computed)</t>
  </si>
  <si>
    <t xml:space="preserve">  Operating margin %</t>
  </si>
  <si>
    <t>Operating income as reported (check)</t>
  </si>
  <si>
    <t xml:space="preserve">  Difference (must be 0)</t>
  </si>
  <si>
    <t>Interest income</t>
  </si>
  <si>
    <t>Interest expense</t>
  </si>
  <si>
    <t>Equity income (loss) – net</t>
  </si>
  <si>
    <t>Other income (loss) – net</t>
  </si>
  <si>
    <t>Income before income taxes</t>
  </si>
  <si>
    <t>Income taxes</t>
  </si>
  <si>
    <t xml:space="preserve">  Effective tax rate</t>
  </si>
  <si>
    <t>Consolidated net income</t>
  </si>
  <si>
    <t>Diluted weighted-average shares (mm)</t>
  </si>
  <si>
    <t>CASH FLOW STATEMENT ($ mm)</t>
  </si>
  <si>
    <t>Depreciation &amp; amortization (D&amp;A)</t>
  </si>
  <si>
    <t>Stock-based compensation (SBC)</t>
  </si>
  <si>
    <t>Net cash provided by operating activities</t>
  </si>
  <si>
    <t>Capital expenditures (purchases of PP&amp;E)</t>
  </si>
  <si>
    <t>Simple free cash flow (CFO – CapEx)</t>
  </si>
  <si>
    <t xml:space="preserve">  CapEx % of revenue</t>
  </si>
  <si>
    <t xml:space="preserve">  D&amp;A % of revenue</t>
  </si>
  <si>
    <t>Dividends paid</t>
  </si>
  <si>
    <t>Purchases of treasury stock</t>
  </si>
  <si>
    <t>BALANCE SHEET ($ mm)</t>
  </si>
  <si>
    <t>Cash and cash equivalents</t>
  </si>
  <si>
    <t>Short-term investments</t>
  </si>
  <si>
    <t>Marketable securities</t>
  </si>
  <si>
    <t>Trade accounts receivable</t>
  </si>
  <si>
    <t>Inventories</t>
  </si>
  <si>
    <t>Prepaid expenses &amp; other current assets</t>
  </si>
  <si>
    <t>Assets held for sale</t>
  </si>
  <si>
    <t>Equity method investments</t>
  </si>
  <si>
    <t>Property, plant &amp; equipment – net</t>
  </si>
  <si>
    <t>Accounts payable &amp; accrued expenses</t>
  </si>
  <si>
    <t>Loans and notes payable</t>
  </si>
  <si>
    <t>Current maturities of long-term debt</t>
  </si>
  <si>
    <t>Accrued income taxes</t>
  </si>
  <si>
    <t>Liabilities held for sale</t>
  </si>
  <si>
    <t>Long-term debt</t>
  </si>
  <si>
    <t>Noncontrolling interests</t>
  </si>
  <si>
    <t>Equity attributable to KO shareowners</t>
  </si>
  <si>
    <t>SHARES OUTSTANDING (mm)</t>
  </si>
  <si>
    <t>Shares issued</t>
  </si>
  <si>
    <t>Treasury shares</t>
  </si>
  <si>
    <t>Shares outstanding at year-end</t>
  </si>
  <si>
    <t>Shares outstanding at Feb 18, 2026 (10-K cover)</t>
  </si>
  <si>
    <t>Revenues</t>
  </si>
  <si>
    <t>revenue growth</t>
  </si>
  <si>
    <t>CAGR 2023-2025</t>
  </si>
  <si>
    <t>hist analysis ($mm)</t>
  </si>
  <si>
    <t>Gross margin</t>
  </si>
  <si>
    <t>SG&amp;A % of revenue</t>
  </si>
  <si>
    <t>Adjusted EBIT</t>
  </si>
  <si>
    <t>Adjusted EBIT margin %</t>
  </si>
  <si>
    <t>Operating NWC ($mm)</t>
  </si>
  <si>
    <t xml:space="preserve">Fairlife contingent consideration </t>
  </si>
  <si>
    <t>Adjusted Operating NWC ($mm)</t>
  </si>
  <si>
    <t>Change in Adjusted NWC ($MM)</t>
  </si>
  <si>
    <t>Adjusted NWC % of revenue</t>
  </si>
  <si>
    <t>Coca-Cola - Base Case ($mm)</t>
  </si>
  <si>
    <t>2023A</t>
  </si>
  <si>
    <t>2025A</t>
  </si>
  <si>
    <t>2026E</t>
  </si>
  <si>
    <t>2027E</t>
  </si>
  <si>
    <t>2028E</t>
  </si>
  <si>
    <t>2029E</t>
  </si>
  <si>
    <t>2030E</t>
  </si>
  <si>
    <t>2024A</t>
  </si>
  <si>
    <t>Revenue</t>
  </si>
  <si>
    <t>revenue growth %</t>
  </si>
  <si>
    <t>gross margin</t>
  </si>
  <si>
    <t>SG&amp;A</t>
  </si>
  <si>
    <t>Tax rate %</t>
  </si>
  <si>
    <t>Taxes on EBIT</t>
  </si>
  <si>
    <t xml:space="preserve">NOPAT </t>
  </si>
  <si>
    <t>D&amp;A % of revenue</t>
  </si>
  <si>
    <t>D&amp;A</t>
  </si>
  <si>
    <t xml:space="preserve">CAPEX % of revenue </t>
  </si>
  <si>
    <t xml:space="preserve">CAPEX  </t>
  </si>
  <si>
    <t xml:space="preserve">Accounts payable  </t>
  </si>
  <si>
    <t>NWC group A</t>
  </si>
  <si>
    <t>NWC group B</t>
  </si>
  <si>
    <t>DSO</t>
  </si>
  <si>
    <t>DIO</t>
  </si>
  <si>
    <t>DPO</t>
  </si>
  <si>
    <t>NWC group B % revenues</t>
  </si>
  <si>
    <t>DSO average</t>
  </si>
  <si>
    <t>DIO average</t>
  </si>
  <si>
    <t>DPO average</t>
  </si>
  <si>
    <t>NWC group B % revenues average</t>
  </si>
  <si>
    <t xml:space="preserve">NWC group A </t>
  </si>
  <si>
    <t>NWC</t>
  </si>
  <si>
    <t>Change in NWC</t>
  </si>
  <si>
    <t>Unlevered Free Cash Flow (FCFF)</t>
  </si>
  <si>
    <t>Ke</t>
  </si>
  <si>
    <t>rf</t>
  </si>
  <si>
    <t>unlevered beta corrected for cash</t>
  </si>
  <si>
    <t>price stock 12/31</t>
  </si>
  <si>
    <t>shares</t>
  </si>
  <si>
    <t>market cap</t>
  </si>
  <si>
    <t>D/E</t>
  </si>
  <si>
    <t>marginal tax rate</t>
  </si>
  <si>
    <t>levered beta</t>
  </si>
  <si>
    <t>equity risk premium</t>
  </si>
  <si>
    <t>Kd after tax</t>
  </si>
  <si>
    <t>interest coverage ratio</t>
  </si>
  <si>
    <t>A1/A+</t>
  </si>
  <si>
    <t>Kd pre-tax</t>
  </si>
  <si>
    <t>WACC</t>
  </si>
  <si>
    <t>spread sintetico</t>
  </si>
  <si>
    <t>spread reale</t>
  </si>
  <si>
    <t>equity weight</t>
  </si>
  <si>
    <t>debt weight</t>
  </si>
  <si>
    <t>% margin</t>
  </si>
  <si>
    <t>discount period</t>
  </si>
  <si>
    <t>discount factor</t>
  </si>
  <si>
    <t>TV</t>
  </si>
  <si>
    <t>g</t>
  </si>
  <si>
    <t>PV of FCFF and TV</t>
  </si>
  <si>
    <t>Enterprise Value</t>
  </si>
  <si>
    <t>% TV on EV</t>
  </si>
  <si>
    <t>net debt</t>
  </si>
  <si>
    <t>Equity Value</t>
  </si>
  <si>
    <t>gross debt</t>
  </si>
  <si>
    <t xml:space="preserve">rating </t>
  </si>
  <si>
    <t>noncontrolling interests</t>
  </si>
  <si>
    <t>equity method investments</t>
  </si>
  <si>
    <t>Difference between share prices</t>
  </si>
  <si>
    <t>outstanding stock options</t>
  </si>
  <si>
    <t>PSU</t>
  </si>
  <si>
    <t>RSU</t>
  </si>
  <si>
    <t>average exercise price</t>
  </si>
  <si>
    <t>n. of shares from options</t>
  </si>
  <si>
    <t>Market Price</t>
  </si>
  <si>
    <t>Intrinsic Share Price</t>
  </si>
  <si>
    <t>Number of Shares</t>
  </si>
  <si>
    <t>Analisi di sensitività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</si>
</sst>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"/>
    <numFmt numFmtId="166" formatCode="#,##0.0"/>
    <numFmt numFmtId="181" formatCode="[$$-409]#,##0.00"/>
  </numFmts>
  <fonts count="17" x14ac:knownFonts="1">
    <font>
      <sz val="11"/>
      <color theme="1"/>
      <name val="Aptos Narrow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4"/>
      <color theme="1"/>
      <name val="Arial"/>
    </font>
    <font>
      <i/>
      <sz val="10"/>
      <color theme="1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color rgb="FF00000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164" fontId="6" fillId="0" borderId="0" xfId="0" applyNumberFormat="1" applyFont="1"/>
    <xf numFmtId="164" fontId="7" fillId="0" borderId="0" xfId="0" applyNumberFormat="1" applyFont="1"/>
    <xf numFmtId="165" fontId="4" fillId="0" borderId="0" xfId="0" applyNumberFormat="1" applyFont="1"/>
    <xf numFmtId="3" fontId="6" fillId="0" borderId="0" xfId="0" applyNumberFormat="1" applyFont="1"/>
    <xf numFmtId="166" fontId="6" fillId="0" borderId="0" xfId="0" applyNumberFormat="1" applyFont="1"/>
    <xf numFmtId="3" fontId="7" fillId="0" borderId="0" xfId="0" applyNumberFormat="1" applyFont="1"/>
    <xf numFmtId="10" fontId="0" fillId="0" borderId="0" xfId="1" applyNumberFormat="1" applyFont="1"/>
    <xf numFmtId="0" fontId="11" fillId="0" borderId="0" xfId="0" applyFont="1"/>
    <xf numFmtId="0" fontId="11" fillId="3" borderId="0" xfId="0" applyFont="1" applyFill="1"/>
    <xf numFmtId="0" fontId="11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0" fontId="0" fillId="0" borderId="0" xfId="1" applyNumberFormat="1" applyFont="1" applyAlignment="1">
      <alignment horizontal="center"/>
    </xf>
    <xf numFmtId="0" fontId="13" fillId="0" borderId="0" xfId="0" applyFont="1" applyAlignment="1">
      <alignment horizontal="center"/>
    </xf>
    <xf numFmtId="10" fontId="13" fillId="0" borderId="0" xfId="0" applyNumberFormat="1" applyFont="1"/>
    <xf numFmtId="10" fontId="0" fillId="0" borderId="0" xfId="0" applyNumberFormat="1"/>
    <xf numFmtId="10" fontId="14" fillId="0" borderId="0" xfId="0" applyNumberFormat="1" applyFont="1"/>
    <xf numFmtId="2" fontId="0" fillId="0" borderId="0" xfId="0" applyNumberFormat="1"/>
    <xf numFmtId="2" fontId="0" fillId="0" borderId="0" xfId="1" applyNumberFormat="1" applyFont="1"/>
    <xf numFmtId="3" fontId="0" fillId="0" borderId="0" xfId="0" applyNumberFormat="1"/>
    <xf numFmtId="0" fontId="13" fillId="0" borderId="0" xfId="0" applyFont="1"/>
    <xf numFmtId="0" fontId="0" fillId="0" borderId="0" xfId="0" applyAlignment="1">
      <alignment horizontal="right"/>
    </xf>
    <xf numFmtId="0" fontId="14" fillId="0" borderId="0" xfId="0" applyFont="1"/>
    <xf numFmtId="2" fontId="13" fillId="0" borderId="0" xfId="0" applyNumberFormat="1" applyFont="1"/>
    <xf numFmtId="10" fontId="0" fillId="0" borderId="0" xfId="0" applyNumberFormat="1" applyAlignment="1">
      <alignment horizontal="right"/>
    </xf>
    <xf numFmtId="181" fontId="0" fillId="0" borderId="0" xfId="0" applyNumberFormat="1" applyAlignment="1">
      <alignment horizontal="right"/>
    </xf>
    <xf numFmtId="181" fontId="0" fillId="0" borderId="0" xfId="0" applyNumberFormat="1"/>
    <xf numFmtId="18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81" fontId="11" fillId="0" borderId="1" xfId="0" applyNumberFormat="1" applyFont="1" applyBorder="1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23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FC74E4-8817-44B0-9428-15DF5540D484}">
  <we:reference id="wa200009404" version="1.0.0.8" store="it-IT" storeType="OMEX"/>
  <we:alternateReferences>
    <we:reference id="wa200009404" version="1.0.0.8" store="wa200009404" storeType="OMEX"/>
  </we:alternateReferences>
  <we:properties>
    <we:property name="claude.fileId" value="&quot;091dc34b-8a1e-4726-b8c3-89064f20eda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740A-F09F-4F47-A17D-ABB3816A0361}">
  <dimension ref="A1:E61"/>
  <sheetViews>
    <sheetView showGridLines="0" zoomScale="129" zoomScaleNormal="88" workbookViewId="0">
      <pane ySplit="2" topLeftCell="A39" activePane="bottomLeft" state="frozen"/>
      <selection pane="bottomLeft" activeCell="A60" sqref="A60:XFD60"/>
    </sheetView>
  </sheetViews>
  <sheetFormatPr defaultRowHeight="15" x14ac:dyDescent="0.25"/>
  <cols>
    <col min="1" max="1" width="60" customWidth="1"/>
    <col min="2" max="4" width="12.7109375" customWidth="1"/>
    <col min="5" max="5" width="10.85546875" customWidth="1"/>
  </cols>
  <sheetData>
    <row r="1" spans="1:5" ht="18" x14ac:dyDescent="0.25">
      <c r="A1" s="3" t="s">
        <v>0</v>
      </c>
      <c r="B1" s="1"/>
      <c r="C1" s="1"/>
      <c r="D1" s="1"/>
      <c r="E1" s="1"/>
    </row>
    <row r="2" spans="1:5" x14ac:dyDescent="0.25">
      <c r="A2" s="4" t="s">
        <v>1</v>
      </c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5" t="s">
        <v>2</v>
      </c>
      <c r="B4" s="6">
        <v>2023</v>
      </c>
      <c r="C4" s="6">
        <v>2024</v>
      </c>
      <c r="D4" s="6">
        <v>2025</v>
      </c>
    </row>
    <row r="5" spans="1:5" x14ac:dyDescent="0.25">
      <c r="A5" s="1" t="s">
        <v>3</v>
      </c>
      <c r="B5" s="7">
        <v>45754</v>
      </c>
      <c r="C5" s="7">
        <v>47061</v>
      </c>
      <c r="D5" s="7">
        <v>47941</v>
      </c>
    </row>
    <row r="6" spans="1:5" x14ac:dyDescent="0.25">
      <c r="A6" s="1" t="s">
        <v>4</v>
      </c>
      <c r="B6" s="7">
        <v>18520</v>
      </c>
      <c r="C6" s="7">
        <v>18324</v>
      </c>
      <c r="D6" s="7">
        <v>18397</v>
      </c>
    </row>
    <row r="7" spans="1:5" x14ac:dyDescent="0.25">
      <c r="A7" s="2" t="s">
        <v>5</v>
      </c>
      <c r="B7" s="8">
        <f>B5-B6</f>
        <v>27234</v>
      </c>
      <c r="C7" s="8">
        <f>C5-C6</f>
        <v>28737</v>
      </c>
      <c r="D7" s="8">
        <f>D5-D6</f>
        <v>29544</v>
      </c>
    </row>
    <row r="8" spans="1:5" x14ac:dyDescent="0.25">
      <c r="A8" s="4" t="s">
        <v>6</v>
      </c>
      <c r="B8" s="9">
        <f>B7/B5</f>
        <v>0.5952266468505486</v>
      </c>
      <c r="C8" s="9">
        <f>C7/C5</f>
        <v>0.61063300822336963</v>
      </c>
      <c r="D8" s="9">
        <f>D7/D5</f>
        <v>0.61625748315637974</v>
      </c>
    </row>
    <row r="9" spans="1:5" x14ac:dyDescent="0.25">
      <c r="A9" s="1" t="s">
        <v>7</v>
      </c>
      <c r="B9" s="7">
        <v>13972</v>
      </c>
      <c r="C9" s="7">
        <v>14582</v>
      </c>
      <c r="D9" s="7">
        <v>14521</v>
      </c>
    </row>
    <row r="10" spans="1:5" x14ac:dyDescent="0.25">
      <c r="A10" s="1" t="s">
        <v>8</v>
      </c>
      <c r="B10" s="7">
        <v>1951</v>
      </c>
      <c r="C10" s="7">
        <v>4163</v>
      </c>
      <c r="D10" s="7">
        <v>1261</v>
      </c>
    </row>
    <row r="11" spans="1:5" x14ac:dyDescent="0.25">
      <c r="A11" s="2" t="s">
        <v>9</v>
      </c>
      <c r="B11" s="8">
        <f>B7-B9-B10</f>
        <v>11311</v>
      </c>
      <c r="C11" s="8">
        <f>C7-C9-C10</f>
        <v>9992</v>
      </c>
      <c r="D11" s="8">
        <f>D7-D9-D10</f>
        <v>13762</v>
      </c>
    </row>
    <row r="12" spans="1:5" x14ac:dyDescent="0.25">
      <c r="A12" s="4" t="s">
        <v>10</v>
      </c>
      <c r="B12" s="9">
        <f>B11/B5</f>
        <v>0.24721335839489444</v>
      </c>
      <c r="C12" s="9">
        <f>C11/C5</f>
        <v>0.21232018019166612</v>
      </c>
      <c r="D12" s="9">
        <f>D11/D5</f>
        <v>0.28706117936630443</v>
      </c>
    </row>
    <row r="13" spans="1:5" x14ac:dyDescent="0.25">
      <c r="A13" s="1" t="s">
        <v>11</v>
      </c>
      <c r="B13" s="7">
        <v>11311</v>
      </c>
      <c r="C13" s="7">
        <v>9992</v>
      </c>
      <c r="D13" s="7">
        <v>13762</v>
      </c>
    </row>
    <row r="14" spans="1:5" x14ac:dyDescent="0.25">
      <c r="A14" s="2" t="s">
        <v>12</v>
      </c>
      <c r="B14" s="8">
        <f>B11-B13</f>
        <v>0</v>
      </c>
      <c r="C14" s="8">
        <f>C11-C13</f>
        <v>0</v>
      </c>
      <c r="D14" s="8">
        <f>D11-D13</f>
        <v>0</v>
      </c>
    </row>
    <row r="15" spans="1:5" x14ac:dyDescent="0.25">
      <c r="A15" s="1" t="s">
        <v>13</v>
      </c>
      <c r="B15" s="7">
        <v>907</v>
      </c>
      <c r="C15" s="7">
        <v>988</v>
      </c>
      <c r="D15" s="7">
        <v>786</v>
      </c>
    </row>
    <row r="16" spans="1:5" x14ac:dyDescent="0.25">
      <c r="A16" s="1" t="s">
        <v>14</v>
      </c>
      <c r="B16" s="7">
        <v>1527</v>
      </c>
      <c r="C16" s="7">
        <v>1656</v>
      </c>
      <c r="D16" s="7">
        <v>1654</v>
      </c>
    </row>
    <row r="17" spans="1:4" x14ac:dyDescent="0.25">
      <c r="A17" s="1" t="s">
        <v>15</v>
      </c>
      <c r="B17" s="7">
        <v>1691</v>
      </c>
      <c r="C17" s="7">
        <v>1770</v>
      </c>
      <c r="D17" s="7">
        <v>2031</v>
      </c>
    </row>
    <row r="18" spans="1:4" x14ac:dyDescent="0.25">
      <c r="A18" s="1" t="s">
        <v>16</v>
      </c>
      <c r="B18" s="7">
        <v>570</v>
      </c>
      <c r="C18" s="7">
        <v>1992</v>
      </c>
      <c r="D18" s="7">
        <v>1073</v>
      </c>
    </row>
    <row r="19" spans="1:4" x14ac:dyDescent="0.25">
      <c r="A19" s="2" t="s">
        <v>17</v>
      </c>
      <c r="B19" s="8">
        <f>B11+B15-B16+B17+B18</f>
        <v>12952</v>
      </c>
      <c r="C19" s="8">
        <f>C11+C15-C16+C17+C18</f>
        <v>13086</v>
      </c>
      <c r="D19" s="8">
        <f>D11+D15-D16+D17+D18</f>
        <v>15998</v>
      </c>
    </row>
    <row r="20" spans="1:4" x14ac:dyDescent="0.25">
      <c r="A20" s="1" t="s">
        <v>18</v>
      </c>
      <c r="B20" s="7">
        <v>2249</v>
      </c>
      <c r="C20" s="7">
        <v>2437</v>
      </c>
      <c r="D20" s="7">
        <v>2861</v>
      </c>
    </row>
    <row r="21" spans="1:4" x14ac:dyDescent="0.25">
      <c r="A21" s="4" t="s">
        <v>19</v>
      </c>
      <c r="B21" s="9">
        <f>B20/B19</f>
        <v>0.17364113650401483</v>
      </c>
      <c r="C21" s="9">
        <f>C20/C19</f>
        <v>0.18622955830658719</v>
      </c>
      <c r="D21" s="9">
        <f>D20/D19</f>
        <v>0.17883485435679461</v>
      </c>
    </row>
    <row r="22" spans="1:4" x14ac:dyDescent="0.25">
      <c r="A22" s="2" t="s">
        <v>20</v>
      </c>
      <c r="B22" s="8">
        <f>B19-B20</f>
        <v>10703</v>
      </c>
      <c r="C22" s="8">
        <f>C19-C20</f>
        <v>10649</v>
      </c>
      <c r="D22" s="8">
        <f>D19-D20</f>
        <v>13137</v>
      </c>
    </row>
    <row r="23" spans="1:4" x14ac:dyDescent="0.25">
      <c r="A23" s="1" t="s">
        <v>21</v>
      </c>
      <c r="B23" s="10">
        <v>4339</v>
      </c>
      <c r="C23" s="10">
        <v>4320</v>
      </c>
      <c r="D23" s="10">
        <v>4313</v>
      </c>
    </row>
    <row r="24" spans="1:4" x14ac:dyDescent="0.25">
      <c r="A24" s="1"/>
      <c r="B24" s="1"/>
      <c r="C24" s="1"/>
      <c r="D24" s="1"/>
    </row>
    <row r="25" spans="1:4" x14ac:dyDescent="0.25">
      <c r="A25" s="5" t="s">
        <v>22</v>
      </c>
      <c r="B25" s="6">
        <v>2023</v>
      </c>
      <c r="C25" s="6">
        <v>2024</v>
      </c>
      <c r="D25" s="6">
        <v>2025</v>
      </c>
    </row>
    <row r="26" spans="1:4" x14ac:dyDescent="0.25">
      <c r="A26" s="1" t="s">
        <v>23</v>
      </c>
      <c r="B26" s="7">
        <v>1128</v>
      </c>
      <c r="C26" s="7">
        <v>1075</v>
      </c>
      <c r="D26" s="7">
        <v>1050</v>
      </c>
    </row>
    <row r="27" spans="1:4" x14ac:dyDescent="0.25">
      <c r="A27" s="1" t="s">
        <v>24</v>
      </c>
      <c r="B27" s="7">
        <v>254</v>
      </c>
      <c r="C27" s="7">
        <v>286</v>
      </c>
      <c r="D27" s="7">
        <v>279</v>
      </c>
    </row>
    <row r="28" spans="1:4" x14ac:dyDescent="0.25">
      <c r="A28" s="1" t="s">
        <v>25</v>
      </c>
      <c r="B28" s="7">
        <v>11599</v>
      </c>
      <c r="C28" s="7">
        <v>6805</v>
      </c>
      <c r="D28" s="7">
        <v>7408</v>
      </c>
    </row>
    <row r="29" spans="1:4" x14ac:dyDescent="0.25">
      <c r="A29" s="1" t="s">
        <v>26</v>
      </c>
      <c r="B29" s="7">
        <v>1852</v>
      </c>
      <c r="C29" s="7">
        <v>2064</v>
      </c>
      <c r="D29" s="7">
        <v>2112</v>
      </c>
    </row>
    <row r="30" spans="1:4" x14ac:dyDescent="0.25">
      <c r="A30" s="2" t="s">
        <v>27</v>
      </c>
      <c r="B30" s="8">
        <f>B28-B29</f>
        <v>9747</v>
      </c>
      <c r="C30" s="8">
        <f>C28-C29</f>
        <v>4741</v>
      </c>
      <c r="D30" s="8">
        <f>D28-D29</f>
        <v>5296</v>
      </c>
    </row>
    <row r="31" spans="1:4" x14ac:dyDescent="0.25">
      <c r="A31" s="4" t="s">
        <v>28</v>
      </c>
      <c r="B31" s="9">
        <f>B29/B5</f>
        <v>4.0477335314945143E-2</v>
      </c>
      <c r="C31" s="9">
        <f>C29/C5</f>
        <v>4.3857971568814942E-2</v>
      </c>
      <c r="D31" s="9">
        <f>D29/D5</f>
        <v>4.4054149892576291E-2</v>
      </c>
    </row>
    <row r="32" spans="1:4" x14ac:dyDescent="0.25">
      <c r="A32" s="4" t="s">
        <v>29</v>
      </c>
      <c r="B32" s="9">
        <f>B26/B5</f>
        <v>2.4653582200463348E-2</v>
      </c>
      <c r="C32" s="9">
        <f>C26/C5</f>
        <v>2.2842693525424448E-2</v>
      </c>
      <c r="D32" s="9">
        <f>D26/D5</f>
        <v>2.1901921111366053E-2</v>
      </c>
    </row>
    <row r="33" spans="1:4" x14ac:dyDescent="0.25">
      <c r="A33" s="1" t="s">
        <v>30</v>
      </c>
      <c r="B33" s="7">
        <v>7952</v>
      </c>
      <c r="C33" s="7">
        <v>8359</v>
      </c>
      <c r="D33" s="7">
        <v>8779</v>
      </c>
    </row>
    <row r="34" spans="1:4" x14ac:dyDescent="0.25">
      <c r="A34" s="1" t="s">
        <v>31</v>
      </c>
      <c r="B34" s="7">
        <v>2289</v>
      </c>
      <c r="C34" s="7">
        <v>1795</v>
      </c>
      <c r="D34" s="7">
        <v>746</v>
      </c>
    </row>
    <row r="35" spans="1:4" x14ac:dyDescent="0.25">
      <c r="A35" s="1"/>
      <c r="B35" s="1"/>
      <c r="C35" s="1"/>
      <c r="D35" s="1"/>
    </row>
    <row r="36" spans="1:4" x14ac:dyDescent="0.25">
      <c r="A36" s="5" t="s">
        <v>32</v>
      </c>
      <c r="B36" s="6">
        <v>2023</v>
      </c>
      <c r="C36" s="6">
        <v>2024</v>
      </c>
      <c r="D36" s="6">
        <v>2025</v>
      </c>
    </row>
    <row r="37" spans="1:4" x14ac:dyDescent="0.25">
      <c r="A37" s="1" t="s">
        <v>33</v>
      </c>
      <c r="B37" s="7">
        <v>9366</v>
      </c>
      <c r="C37" s="7">
        <v>10828</v>
      </c>
      <c r="D37" s="7">
        <v>10270</v>
      </c>
    </row>
    <row r="38" spans="1:4" x14ac:dyDescent="0.25">
      <c r="A38" s="1" t="s">
        <v>34</v>
      </c>
      <c r="B38" s="7">
        <v>2997</v>
      </c>
      <c r="C38" s="7">
        <v>2020</v>
      </c>
      <c r="D38" s="7">
        <v>3602</v>
      </c>
    </row>
    <row r="39" spans="1:4" x14ac:dyDescent="0.25">
      <c r="A39" s="1" t="s">
        <v>35</v>
      </c>
      <c r="B39" s="7">
        <v>1300</v>
      </c>
      <c r="C39" s="7">
        <v>1723</v>
      </c>
      <c r="D39" s="7">
        <v>1934</v>
      </c>
    </row>
    <row r="40" spans="1:4" x14ac:dyDescent="0.25">
      <c r="A40" s="1" t="s">
        <v>36</v>
      </c>
      <c r="B40" s="7">
        <v>3410</v>
      </c>
      <c r="C40" s="7">
        <v>3569</v>
      </c>
      <c r="D40" s="7">
        <v>3038</v>
      </c>
    </row>
    <row r="41" spans="1:4" x14ac:dyDescent="0.25">
      <c r="A41" s="1" t="s">
        <v>37</v>
      </c>
      <c r="B41" s="7">
        <v>4424</v>
      </c>
      <c r="C41" s="7">
        <v>4728</v>
      </c>
      <c r="D41" s="7">
        <v>4425</v>
      </c>
    </row>
    <row r="42" spans="1:4" x14ac:dyDescent="0.25">
      <c r="A42" s="1" t="s">
        <v>38</v>
      </c>
      <c r="B42" s="7">
        <v>5235</v>
      </c>
      <c r="C42" s="7">
        <v>2998</v>
      </c>
      <c r="D42" s="7">
        <v>2433</v>
      </c>
    </row>
    <row r="43" spans="1:4" x14ac:dyDescent="0.25">
      <c r="A43" s="1" t="s">
        <v>39</v>
      </c>
      <c r="B43" s="7">
        <v>0</v>
      </c>
      <c r="C43" s="7">
        <v>131</v>
      </c>
      <c r="D43" s="7">
        <v>5342</v>
      </c>
    </row>
    <row r="44" spans="1:4" x14ac:dyDescent="0.25">
      <c r="A44" s="1" t="s">
        <v>40</v>
      </c>
      <c r="B44" s="7">
        <v>19671</v>
      </c>
      <c r="C44" s="7">
        <v>18087</v>
      </c>
      <c r="D44" s="7">
        <v>20235</v>
      </c>
    </row>
    <row r="45" spans="1:4" x14ac:dyDescent="0.25">
      <c r="A45" s="1" t="s">
        <v>41</v>
      </c>
      <c r="B45" s="7">
        <v>9236</v>
      </c>
      <c r="C45" s="7">
        <v>10303</v>
      </c>
      <c r="D45" s="7">
        <v>9613</v>
      </c>
    </row>
    <row r="46" spans="1:4" x14ac:dyDescent="0.25">
      <c r="A46" s="1" t="s">
        <v>42</v>
      </c>
      <c r="B46" s="7">
        <v>15485</v>
      </c>
      <c r="C46" s="7">
        <v>21712</v>
      </c>
      <c r="D46" s="7">
        <v>14813</v>
      </c>
    </row>
    <row r="47" spans="1:4" x14ac:dyDescent="0.25">
      <c r="A47" s="1" t="s">
        <v>88</v>
      </c>
      <c r="B47" s="7">
        <v>5590</v>
      </c>
      <c r="C47" s="7">
        <v>5468</v>
      </c>
      <c r="D47" s="7">
        <v>5649</v>
      </c>
    </row>
    <row r="48" spans="1:4" x14ac:dyDescent="0.25">
      <c r="A48" s="1" t="s">
        <v>43</v>
      </c>
      <c r="B48" s="7">
        <v>4557</v>
      </c>
      <c r="C48" s="7">
        <v>1499</v>
      </c>
      <c r="D48" s="7">
        <v>1551</v>
      </c>
    </row>
    <row r="49" spans="1:5" x14ac:dyDescent="0.25">
      <c r="A49" s="1" t="s">
        <v>44</v>
      </c>
      <c r="B49" s="7">
        <v>1960</v>
      </c>
      <c r="C49" s="7">
        <v>648</v>
      </c>
      <c r="D49" s="7">
        <v>1822</v>
      </c>
    </row>
    <row r="50" spans="1:5" x14ac:dyDescent="0.25">
      <c r="A50" s="1" t="s">
        <v>45</v>
      </c>
      <c r="B50" s="7">
        <v>1569</v>
      </c>
      <c r="C50" s="7">
        <v>1387</v>
      </c>
      <c r="D50" s="7">
        <v>525</v>
      </c>
    </row>
    <row r="51" spans="1:5" x14ac:dyDescent="0.25">
      <c r="A51" s="1" t="s">
        <v>46</v>
      </c>
      <c r="B51" s="7">
        <v>0</v>
      </c>
      <c r="C51" s="7">
        <v>3</v>
      </c>
      <c r="D51" s="7">
        <v>2570</v>
      </c>
    </row>
    <row r="52" spans="1:5" x14ac:dyDescent="0.25">
      <c r="A52" s="1" t="s">
        <v>47</v>
      </c>
      <c r="B52" s="7">
        <v>35547</v>
      </c>
      <c r="C52" s="7">
        <v>42375</v>
      </c>
      <c r="D52" s="7">
        <v>42119</v>
      </c>
    </row>
    <row r="53" spans="1:5" x14ac:dyDescent="0.25">
      <c r="A53" s="1" t="s">
        <v>48</v>
      </c>
      <c r="B53" s="7">
        <v>1539</v>
      </c>
      <c r="C53" s="7">
        <v>1516</v>
      </c>
      <c r="D53" s="7">
        <v>2106</v>
      </c>
    </row>
    <row r="54" spans="1:5" x14ac:dyDescent="0.25">
      <c r="A54" s="1" t="s">
        <v>49</v>
      </c>
      <c r="B54" s="7">
        <v>25941</v>
      </c>
      <c r="C54" s="7">
        <v>24856</v>
      </c>
      <c r="D54" s="7">
        <v>32169</v>
      </c>
    </row>
    <row r="55" spans="1:5" x14ac:dyDescent="0.25">
      <c r="A55" s="1"/>
      <c r="B55" s="1"/>
      <c r="C55" s="1"/>
      <c r="D55" s="1"/>
    </row>
    <row r="56" spans="1:5" x14ac:dyDescent="0.25">
      <c r="A56" s="5" t="s">
        <v>50</v>
      </c>
      <c r="B56" s="6">
        <v>2023</v>
      </c>
      <c r="C56" s="6">
        <v>2024</v>
      </c>
      <c r="D56" s="6">
        <v>2025</v>
      </c>
    </row>
    <row r="57" spans="1:5" x14ac:dyDescent="0.25">
      <c r="A57" s="1" t="s">
        <v>51</v>
      </c>
      <c r="B57" s="10">
        <v>7040</v>
      </c>
      <c r="C57" s="7">
        <v>7040</v>
      </c>
      <c r="D57" s="7">
        <v>7040</v>
      </c>
    </row>
    <row r="58" spans="1:5" x14ac:dyDescent="0.25">
      <c r="A58" s="1" t="s">
        <v>52</v>
      </c>
      <c r="B58" s="10">
        <v>2732</v>
      </c>
      <c r="C58" s="7">
        <v>2738</v>
      </c>
      <c r="D58" s="7">
        <v>2738</v>
      </c>
    </row>
    <row r="59" spans="1:5" x14ac:dyDescent="0.25">
      <c r="A59" s="2" t="s">
        <v>53</v>
      </c>
      <c r="B59" s="12">
        <f>B57-B58</f>
        <v>4308</v>
      </c>
      <c r="C59" s="12">
        <f>C57-C58</f>
        <v>4302</v>
      </c>
      <c r="D59" s="12">
        <f>D57-D58</f>
        <v>4302</v>
      </c>
    </row>
    <row r="60" spans="1:5" x14ac:dyDescent="0.25">
      <c r="A60" s="1" t="s">
        <v>54</v>
      </c>
      <c r="B60" s="7"/>
      <c r="C60" s="7"/>
      <c r="D60" s="11">
        <v>4300.7230689999997</v>
      </c>
    </row>
    <row r="61" spans="1:5" x14ac:dyDescent="0.25">
      <c r="A61" s="1"/>
      <c r="B61" s="1"/>
      <c r="C61" s="1"/>
      <c r="D61" s="1"/>
      <c r="E61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3B39-12E0-49B9-8D2B-00F02EE8E28C}">
  <dimension ref="A1:F20"/>
  <sheetViews>
    <sheetView zoomScale="94" workbookViewId="0">
      <selection activeCell="C6" sqref="C6"/>
    </sheetView>
  </sheetViews>
  <sheetFormatPr defaultRowHeight="15" x14ac:dyDescent="0.25"/>
  <cols>
    <col min="1" max="1" width="27.5703125" bestFit="1" customWidth="1"/>
    <col min="5" max="5" width="28.140625" bestFit="1" customWidth="1"/>
  </cols>
  <sheetData>
    <row r="1" spans="1:4" x14ac:dyDescent="0.25">
      <c r="A1" s="16" t="s">
        <v>58</v>
      </c>
      <c r="B1" s="17">
        <v>2023</v>
      </c>
      <c r="C1" s="17">
        <v>2024</v>
      </c>
      <c r="D1" s="17">
        <v>2025</v>
      </c>
    </row>
    <row r="2" spans="1:4" x14ac:dyDescent="0.25">
      <c r="A2" s="18" t="s">
        <v>55</v>
      </c>
      <c r="B2" s="19">
        <f>Storico!B5</f>
        <v>45754</v>
      </c>
      <c r="C2" s="19">
        <f>Storico!C5</f>
        <v>47061</v>
      </c>
      <c r="D2" s="19">
        <f>Storico!D5</f>
        <v>47941</v>
      </c>
    </row>
    <row r="3" spans="1:4" x14ac:dyDescent="0.25">
      <c r="A3" s="18" t="s">
        <v>56</v>
      </c>
      <c r="B3" s="18"/>
      <c r="C3" s="20">
        <f>C2/B2-1</f>
        <v>2.8565808453905772E-2</v>
      </c>
      <c r="D3" s="20">
        <f>D2/C2-1</f>
        <v>1.8699135164998548E-2</v>
      </c>
    </row>
    <row r="4" spans="1:4" x14ac:dyDescent="0.25">
      <c r="A4" s="18" t="s">
        <v>57</v>
      </c>
      <c r="B4" s="20">
        <f>(D2/B2)^(1/(D1-B1))-1</f>
        <v>2.3620583777153925E-2</v>
      </c>
      <c r="C4" s="18"/>
      <c r="D4" s="18"/>
    </row>
    <row r="5" spans="1:4" x14ac:dyDescent="0.25">
      <c r="A5" s="18" t="s">
        <v>59</v>
      </c>
      <c r="B5" s="20">
        <f>Storico!B7/B2</f>
        <v>0.5952266468505486</v>
      </c>
      <c r="C5" s="20">
        <f>Storico!C7/C2</f>
        <v>0.61063300822336963</v>
      </c>
      <c r="D5" s="20">
        <f>Storico!D7/D2</f>
        <v>0.61625748315637974</v>
      </c>
    </row>
    <row r="6" spans="1:4" x14ac:dyDescent="0.25">
      <c r="A6" s="18" t="s">
        <v>60</v>
      </c>
      <c r="B6" s="20">
        <f>Storico!B9/B2</f>
        <v>0.30537220789439173</v>
      </c>
      <c r="C6" s="20">
        <f>Storico!C9/C2</f>
        <v>0.30985316929092027</v>
      </c>
      <c r="D6" s="20">
        <f>Storico!D9/D2</f>
        <v>0.30289313948394903</v>
      </c>
    </row>
    <row r="7" spans="1:4" x14ac:dyDescent="0.25">
      <c r="A7" s="18" t="s">
        <v>61</v>
      </c>
      <c r="B7" s="18">
        <f>Storico!B7-Storico!B9</f>
        <v>13262</v>
      </c>
      <c r="C7" s="18">
        <f>Storico!C7-Storico!C9</f>
        <v>14155</v>
      </c>
      <c r="D7" s="18">
        <f>Storico!D7-Storico!D9</f>
        <v>15023</v>
      </c>
    </row>
    <row r="8" spans="1:4" x14ac:dyDescent="0.25">
      <c r="A8" s="18" t="s">
        <v>62</v>
      </c>
      <c r="B8" s="20">
        <f>B7/B2</f>
        <v>0.28985443895615681</v>
      </c>
      <c r="C8" s="20">
        <f t="shared" ref="C8:D8" si="0">C7/C2</f>
        <v>0.30077983893244936</v>
      </c>
      <c r="D8" s="20">
        <f t="shared" si="0"/>
        <v>0.31336434367243071</v>
      </c>
    </row>
    <row r="9" spans="1:4" x14ac:dyDescent="0.25">
      <c r="A9" s="18"/>
      <c r="B9" s="20"/>
      <c r="C9" s="20"/>
      <c r="D9" s="20"/>
    </row>
    <row r="10" spans="1:4" x14ac:dyDescent="0.25">
      <c r="A10" s="18" t="s">
        <v>64</v>
      </c>
      <c r="B10" s="21">
        <v>0</v>
      </c>
      <c r="C10" s="21">
        <v>6126</v>
      </c>
      <c r="D10" s="21">
        <v>0</v>
      </c>
    </row>
    <row r="11" spans="1:4" x14ac:dyDescent="0.25">
      <c r="A11" s="18" t="s">
        <v>63</v>
      </c>
      <c r="B11" s="18">
        <f>Storico!B40+Storico!B41-Storico!B46-Storico!B50+Storico!B42</f>
        <v>-3985</v>
      </c>
      <c r="C11" s="18">
        <f>Storico!C40+Storico!C41-Storico!C46-Storico!C50+Storico!C42</f>
        <v>-11804</v>
      </c>
      <c r="D11" s="18">
        <f>Storico!D40+Storico!D41-Storico!D46-Storico!D50+Storico!D42</f>
        <v>-5442</v>
      </c>
    </row>
    <row r="12" spans="1:4" x14ac:dyDescent="0.25">
      <c r="A12" s="18" t="s">
        <v>65</v>
      </c>
      <c r="B12" s="18">
        <f>B11+B10</f>
        <v>-3985</v>
      </c>
      <c r="C12" s="18">
        <f t="shared" ref="C12:D12" si="1">C11+C10</f>
        <v>-5678</v>
      </c>
      <c r="D12" s="18">
        <f t="shared" si="1"/>
        <v>-5442</v>
      </c>
    </row>
    <row r="13" spans="1:4" x14ac:dyDescent="0.25">
      <c r="A13" s="18" t="s">
        <v>66</v>
      </c>
      <c r="B13" s="18"/>
      <c r="C13" s="18">
        <f>C12-B12</f>
        <v>-1693</v>
      </c>
      <c r="D13" s="18">
        <f>D12-C12</f>
        <v>236</v>
      </c>
    </row>
    <row r="14" spans="1:4" x14ac:dyDescent="0.25">
      <c r="A14" s="18" t="s">
        <v>67</v>
      </c>
      <c r="B14" s="20">
        <f>B12/B2</f>
        <v>-8.709621016741706E-2</v>
      </c>
      <c r="C14" s="20">
        <f t="shared" ref="C14:D14" si="2">C12/C2</f>
        <v>-0.120651919848707</v>
      </c>
      <c r="D14" s="20">
        <f t="shared" si="2"/>
        <v>-0.11351452827433721</v>
      </c>
    </row>
    <row r="15" spans="1:4" x14ac:dyDescent="0.25">
      <c r="A15" s="18" t="s">
        <v>89</v>
      </c>
      <c r="B15">
        <f>Storico!B40+Storico!B41-Storico!B47</f>
        <v>2244</v>
      </c>
      <c r="C15">
        <f>Storico!C40+Storico!C41-Storico!C47</f>
        <v>2829</v>
      </c>
      <c r="D15">
        <f>Storico!D40+Storico!D41-Storico!D47</f>
        <v>1814</v>
      </c>
    </row>
    <row r="16" spans="1:4" x14ac:dyDescent="0.25">
      <c r="A16" s="18" t="s">
        <v>90</v>
      </c>
      <c r="B16">
        <f>B12-B15</f>
        <v>-6229</v>
      </c>
      <c r="C16">
        <f t="shared" ref="C16:D16" si="3">C12-C15</f>
        <v>-8507</v>
      </c>
      <c r="D16">
        <f t="shared" si="3"/>
        <v>-7256</v>
      </c>
    </row>
    <row r="17" spans="1:6" x14ac:dyDescent="0.25">
      <c r="A17" s="18" t="s">
        <v>94</v>
      </c>
      <c r="B17" s="13">
        <f>B16/B2</f>
        <v>-0.13614110241727501</v>
      </c>
      <c r="C17" s="13">
        <f t="shared" ref="C17:D17" si="4">C16/C2</f>
        <v>-0.18076538960073096</v>
      </c>
      <c r="D17" s="13">
        <f t="shared" si="4"/>
        <v>-0.15135270436578294</v>
      </c>
      <c r="E17" t="s">
        <v>98</v>
      </c>
      <c r="F17" s="23">
        <f>AVERAGE(B17:D17)</f>
        <v>-0.15608639879459629</v>
      </c>
    </row>
    <row r="18" spans="1:6" x14ac:dyDescent="0.25">
      <c r="A18" s="18" t="s">
        <v>91</v>
      </c>
      <c r="B18" s="25">
        <f>Storico!B40/Analysis!B2*365</f>
        <v>27.203086068977576</v>
      </c>
      <c r="C18" s="25">
        <f>Storico!C40/Analysis!C2*365</f>
        <v>27.680776014109345</v>
      </c>
      <c r="D18" s="25">
        <f>Storico!D40/Analysis!D2*365</f>
        <v>23.129888821676644</v>
      </c>
      <c r="E18" t="s">
        <v>95</v>
      </c>
      <c r="F18" s="25">
        <f>AVERAGE(B18:D18)</f>
        <v>26.00458363492119</v>
      </c>
    </row>
    <row r="19" spans="1:6" x14ac:dyDescent="0.25">
      <c r="A19" s="18" t="s">
        <v>92</v>
      </c>
      <c r="B19" s="25">
        <f>Storico!B41/Storico!B6*365</f>
        <v>87.190064794816408</v>
      </c>
      <c r="C19" s="25">
        <f>Storico!C41/Storico!C6*365</f>
        <v>94.1781270464964</v>
      </c>
      <c r="D19" s="25">
        <f>Storico!D41/Storico!D6*365</f>
        <v>87.792846659781489</v>
      </c>
      <c r="E19" t="s">
        <v>96</v>
      </c>
      <c r="F19" s="25">
        <f t="shared" ref="F19:F20" si="5">AVERAGE(B19:D19)</f>
        <v>89.720346167031437</v>
      </c>
    </row>
    <row r="20" spans="1:6" x14ac:dyDescent="0.25">
      <c r="A20" s="18" t="s">
        <v>93</v>
      </c>
      <c r="B20">
        <f>Storico!B47/Storico!B6*365</f>
        <v>110.17008639308857</v>
      </c>
      <c r="C20">
        <f>Storico!C47/Storico!C6*365</f>
        <v>108.91835843702248</v>
      </c>
      <c r="D20">
        <f>Storico!D47/Storico!D6*365</f>
        <v>112.07724085448714</v>
      </c>
      <c r="E20" t="s">
        <v>97</v>
      </c>
      <c r="F20" s="25">
        <f t="shared" si="5"/>
        <v>110.38856189486607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CE0F-6C9D-4402-B1B4-307C467DB5D2}">
  <dimension ref="A1:J54"/>
  <sheetViews>
    <sheetView tabSelected="1" topLeftCell="A43" zoomScale="140" zoomScaleNormal="100" workbookViewId="0">
      <selection activeCell="G48" sqref="G48"/>
    </sheetView>
  </sheetViews>
  <sheetFormatPr defaultRowHeight="15" x14ac:dyDescent="0.25"/>
  <cols>
    <col min="1" max="1" width="30" bestFit="1" customWidth="1"/>
    <col min="2" max="6" width="11.7109375" bestFit="1" customWidth="1"/>
    <col min="10" max="10" width="9.7109375" bestFit="1" customWidth="1"/>
  </cols>
  <sheetData>
    <row r="1" spans="1:9" x14ac:dyDescent="0.25">
      <c r="A1" s="15" t="s">
        <v>68</v>
      </c>
      <c r="B1" s="14" t="s">
        <v>69</v>
      </c>
      <c r="C1" s="14" t="s">
        <v>76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x14ac:dyDescent="0.25">
      <c r="A2" t="s">
        <v>77</v>
      </c>
      <c r="B2">
        <f>Storico!B5</f>
        <v>45754</v>
      </c>
      <c r="C2">
        <f>Storico!C5</f>
        <v>47061</v>
      </c>
      <c r="D2">
        <f>Storico!D5</f>
        <v>47941</v>
      </c>
      <c r="E2">
        <f>D2*(1+E3)</f>
        <v>49858.64</v>
      </c>
      <c r="F2">
        <f t="shared" ref="F2:I2" si="0">E2*(1+F3)</f>
        <v>51653.551039999998</v>
      </c>
      <c r="G2">
        <f t="shared" si="0"/>
        <v>53306.464673280003</v>
      </c>
      <c r="H2">
        <f t="shared" si="0"/>
        <v>54799.045684131845</v>
      </c>
      <c r="I2">
        <f t="shared" si="0"/>
        <v>56114.222780551012</v>
      </c>
    </row>
    <row r="3" spans="1:9" x14ac:dyDescent="0.25">
      <c r="A3" t="s">
        <v>78</v>
      </c>
      <c r="C3" s="13">
        <f>C2/B2-1</f>
        <v>2.8565808453905772E-2</v>
      </c>
      <c r="D3" s="13">
        <f>D2/C2-1</f>
        <v>1.8699135164998548E-2</v>
      </c>
      <c r="E3" s="22">
        <v>0.04</v>
      </c>
      <c r="F3" s="22">
        <v>3.5999999999999997E-2</v>
      </c>
      <c r="G3" s="22">
        <v>3.2000000000000001E-2</v>
      </c>
      <c r="H3" s="22">
        <v>2.8000000000000001E-2</v>
      </c>
      <c r="I3" s="22">
        <v>2.4E-2</v>
      </c>
    </row>
    <row r="4" spans="1:9" x14ac:dyDescent="0.25">
      <c r="A4" t="s">
        <v>4</v>
      </c>
      <c r="B4">
        <f>Storico!B6</f>
        <v>18520</v>
      </c>
      <c r="C4">
        <f>Storico!C6</f>
        <v>18324</v>
      </c>
      <c r="D4">
        <f>Storico!D6</f>
        <v>18397</v>
      </c>
      <c r="E4" s="22"/>
      <c r="F4" s="22"/>
      <c r="G4" s="22"/>
      <c r="H4" s="22"/>
      <c r="I4" s="22"/>
    </row>
    <row r="5" spans="1:9" x14ac:dyDescent="0.25">
      <c r="A5" t="s">
        <v>5</v>
      </c>
      <c r="B5">
        <f>Storico!B7</f>
        <v>27234</v>
      </c>
      <c r="C5">
        <f>Storico!C7</f>
        <v>28737</v>
      </c>
      <c r="D5">
        <f>Storico!D7</f>
        <v>29544</v>
      </c>
      <c r="E5">
        <f>E6*E2</f>
        <v>30663.063599999998</v>
      </c>
      <c r="F5">
        <f t="shared" ref="F5:I5" si="1">F6*F2</f>
        <v>31766.933889599997</v>
      </c>
      <c r="G5">
        <f t="shared" si="1"/>
        <v>32783.475774067199</v>
      </c>
      <c r="H5">
        <f t="shared" si="1"/>
        <v>33701.413095741082</v>
      </c>
      <c r="I5">
        <f t="shared" si="1"/>
        <v>34510.247010038875</v>
      </c>
    </row>
    <row r="6" spans="1:9" x14ac:dyDescent="0.25">
      <c r="A6" t="s">
        <v>79</v>
      </c>
      <c r="B6" s="13">
        <f>B5/B2</f>
        <v>0.5952266468505486</v>
      </c>
      <c r="C6" s="13">
        <f t="shared" ref="C6:D6" si="2">C5/C2</f>
        <v>0.61063300822336963</v>
      </c>
      <c r="D6" s="13">
        <f t="shared" si="2"/>
        <v>0.61625748315637974</v>
      </c>
      <c r="E6" s="22">
        <v>0.61499999999999999</v>
      </c>
      <c r="F6" s="22">
        <v>0.61499999999999999</v>
      </c>
      <c r="G6" s="22">
        <v>0.61499999999999999</v>
      </c>
      <c r="H6" s="22">
        <v>0.61499999999999999</v>
      </c>
      <c r="I6" s="22">
        <v>0.61499999999999999</v>
      </c>
    </row>
    <row r="7" spans="1:9" x14ac:dyDescent="0.25">
      <c r="A7" t="s">
        <v>80</v>
      </c>
      <c r="B7">
        <f>Storico!B9</f>
        <v>13972</v>
      </c>
      <c r="C7">
        <f>Storico!C9</f>
        <v>14582</v>
      </c>
      <c r="D7">
        <f>Storico!D9</f>
        <v>14521</v>
      </c>
      <c r="E7">
        <f>E8*E2</f>
        <v>15258.713533315562</v>
      </c>
      <c r="F7">
        <f t="shared" ref="F7:I7" si="3">F8*F2</f>
        <v>15808.027220514921</v>
      </c>
      <c r="G7">
        <f t="shared" si="3"/>
        <v>16313.884091571401</v>
      </c>
      <c r="H7">
        <f t="shared" si="3"/>
        <v>16770.6728461354</v>
      </c>
      <c r="I7">
        <f t="shared" si="3"/>
        <v>17173.168994442651</v>
      </c>
    </row>
    <row r="8" spans="1:9" x14ac:dyDescent="0.25">
      <c r="A8" t="s">
        <v>60</v>
      </c>
      <c r="B8" s="13">
        <f>B7/B2</f>
        <v>0.30537220789439173</v>
      </c>
      <c r="C8" s="13">
        <f t="shared" ref="C8:D8" si="4">C7/C2</f>
        <v>0.30985316929092027</v>
      </c>
      <c r="D8" s="13">
        <f t="shared" si="4"/>
        <v>0.30289313948394903</v>
      </c>
      <c r="E8" s="24">
        <f>AVERAGE($B$8:$D$8)</f>
        <v>0.30603950555642034</v>
      </c>
      <c r="F8" s="24">
        <f t="shared" ref="F8:H8" si="5">AVERAGE($B$8:$D$8)</f>
        <v>0.30603950555642034</v>
      </c>
      <c r="G8" s="24">
        <f t="shared" si="5"/>
        <v>0.30603950555642034</v>
      </c>
      <c r="H8" s="24">
        <f t="shared" si="5"/>
        <v>0.30603950555642034</v>
      </c>
      <c r="I8" s="24">
        <f>AVERAGE($B$8:$D$8)</f>
        <v>0.30603950555642034</v>
      </c>
    </row>
    <row r="9" spans="1:9" x14ac:dyDescent="0.25">
      <c r="A9" t="s">
        <v>61</v>
      </c>
      <c r="B9">
        <f>B5-B7</f>
        <v>13262</v>
      </c>
      <c r="C9">
        <f t="shared" ref="C9:I9" si="6">C5-C7</f>
        <v>14155</v>
      </c>
      <c r="D9">
        <f t="shared" si="6"/>
        <v>15023</v>
      </c>
      <c r="E9">
        <f t="shared" si="6"/>
        <v>15404.350066684436</v>
      </c>
      <c r="F9">
        <f t="shared" si="6"/>
        <v>15958.906669085076</v>
      </c>
      <c r="G9">
        <f t="shared" si="6"/>
        <v>16469.591682495797</v>
      </c>
      <c r="H9">
        <f t="shared" si="6"/>
        <v>16930.740249605682</v>
      </c>
      <c r="I9">
        <f t="shared" si="6"/>
        <v>17337.078015596224</v>
      </c>
    </row>
    <row r="10" spans="1:9" x14ac:dyDescent="0.25">
      <c r="A10" t="s">
        <v>62</v>
      </c>
      <c r="B10" s="13">
        <f>B9/B2</f>
        <v>0.28985443895615681</v>
      </c>
      <c r="C10" s="13">
        <f t="shared" ref="C10:I10" si="7">C9/C2</f>
        <v>0.30077983893244936</v>
      </c>
      <c r="D10" s="13">
        <f t="shared" si="7"/>
        <v>0.31336434367243071</v>
      </c>
      <c r="E10" s="13">
        <f t="shared" si="7"/>
        <v>0.30896049444357959</v>
      </c>
      <c r="F10" s="13">
        <f t="shared" si="7"/>
        <v>0.30896049444357965</v>
      </c>
      <c r="G10" s="13">
        <f t="shared" si="7"/>
        <v>0.30896049444357959</v>
      </c>
      <c r="H10" s="13">
        <f t="shared" si="7"/>
        <v>0.30896049444357959</v>
      </c>
      <c r="I10" s="13">
        <f t="shared" si="7"/>
        <v>0.3089604944435797</v>
      </c>
    </row>
    <row r="12" spans="1:9" x14ac:dyDescent="0.25">
      <c r="A12" t="s">
        <v>81</v>
      </c>
      <c r="B12" s="22"/>
      <c r="D12" s="23"/>
      <c r="E12" s="22">
        <v>0.20899999999999999</v>
      </c>
      <c r="F12" s="22">
        <v>0.20899999999999999</v>
      </c>
      <c r="G12" s="22">
        <v>0.20899999999999999</v>
      </c>
      <c r="H12" s="22">
        <v>0.20899999999999999</v>
      </c>
      <c r="I12" s="22">
        <v>0.20899999999999999</v>
      </c>
    </row>
    <row r="13" spans="1:9" x14ac:dyDescent="0.25">
      <c r="A13" t="s">
        <v>82</v>
      </c>
      <c r="E13">
        <f>E12*E9</f>
        <v>3219.5091639370471</v>
      </c>
      <c r="F13">
        <f t="shared" ref="F13:I13" si="8">F12*F9</f>
        <v>3335.4114938387806</v>
      </c>
      <c r="G13">
        <f t="shared" si="8"/>
        <v>3442.1446616416215</v>
      </c>
      <c r="H13">
        <f t="shared" si="8"/>
        <v>3538.5247121675875</v>
      </c>
      <c r="I13">
        <f t="shared" si="8"/>
        <v>3623.4493052596108</v>
      </c>
    </row>
    <row r="14" spans="1:9" x14ac:dyDescent="0.25">
      <c r="A14" t="s">
        <v>83</v>
      </c>
      <c r="E14">
        <f t="shared" ref="E14" si="9">E9-E13</f>
        <v>12184.840902747388</v>
      </c>
      <c r="F14">
        <f t="shared" ref="F14" si="10">F9-F13</f>
        <v>12623.495175246295</v>
      </c>
      <c r="G14">
        <f t="shared" ref="G14" si="11">G9-G13</f>
        <v>13027.447020854175</v>
      </c>
      <c r="H14">
        <f t="shared" ref="H14" si="12">H9-H13</f>
        <v>13392.215537438095</v>
      </c>
      <c r="I14">
        <f t="shared" ref="I14" si="13">I9-I13</f>
        <v>13713.628710336612</v>
      </c>
    </row>
    <row r="15" spans="1:9" x14ac:dyDescent="0.25">
      <c r="A15" t="s">
        <v>86</v>
      </c>
      <c r="B15" s="13">
        <f>Storico!B31</f>
        <v>4.0477335314945143E-2</v>
      </c>
      <c r="C15" s="13">
        <f>Storico!C31</f>
        <v>4.3857971568814942E-2</v>
      </c>
      <c r="D15" s="13">
        <f>Storico!D31</f>
        <v>4.4054149892576291E-2</v>
      </c>
      <c r="E15" s="22">
        <v>4.3999999999999997E-2</v>
      </c>
      <c r="F15" s="22">
        <v>4.2500000000000003E-2</v>
      </c>
      <c r="G15" s="22">
        <v>4.0500000000000001E-2</v>
      </c>
      <c r="H15" s="22">
        <v>3.9E-2</v>
      </c>
      <c r="I15" s="22">
        <v>3.7499999999999999E-2</v>
      </c>
    </row>
    <row r="16" spans="1:9" x14ac:dyDescent="0.25">
      <c r="A16" t="s">
        <v>87</v>
      </c>
      <c r="B16">
        <f>B15*B2</f>
        <v>1852</v>
      </c>
      <c r="C16">
        <f t="shared" ref="C16:D16" si="14">C15*C2</f>
        <v>2064</v>
      </c>
      <c r="D16">
        <f t="shared" si="14"/>
        <v>2112</v>
      </c>
      <c r="E16">
        <f>E15*E2</f>
        <v>2193.7801599999998</v>
      </c>
      <c r="F16">
        <f t="shared" ref="F16:I16" si="15">F15*F2</f>
        <v>2195.2759192000003</v>
      </c>
      <c r="G16">
        <f t="shared" si="15"/>
        <v>2158.9118192678402</v>
      </c>
      <c r="H16">
        <f t="shared" si="15"/>
        <v>2137.162781681142</v>
      </c>
      <c r="I16">
        <f t="shared" si="15"/>
        <v>2104.283354270663</v>
      </c>
    </row>
    <row r="17" spans="1:10" x14ac:dyDescent="0.25">
      <c r="A17" t="s">
        <v>84</v>
      </c>
      <c r="B17" s="13">
        <f>Storico!B32</f>
        <v>2.4653582200463348E-2</v>
      </c>
      <c r="C17" s="13">
        <f>Storico!C32</f>
        <v>2.2842693525424448E-2</v>
      </c>
      <c r="D17" s="13">
        <f>Storico!D32</f>
        <v>2.1901921111366053E-2</v>
      </c>
      <c r="E17" s="22">
        <v>2.35E-2</v>
      </c>
      <c r="F17" s="22">
        <v>2.5499999999999998E-2</v>
      </c>
      <c r="G17" s="22">
        <v>2.76E-2</v>
      </c>
      <c r="H17" s="22">
        <v>2.98E-2</v>
      </c>
      <c r="I17" s="22">
        <v>3.2000000000000001E-2</v>
      </c>
    </row>
    <row r="18" spans="1:10" x14ac:dyDescent="0.25">
      <c r="A18" t="s">
        <v>85</v>
      </c>
      <c r="B18">
        <f>B17*B2</f>
        <v>1128</v>
      </c>
      <c r="C18">
        <f t="shared" ref="C18:D18" si="16">C17*C2</f>
        <v>1075</v>
      </c>
      <c r="D18">
        <f t="shared" si="16"/>
        <v>1050</v>
      </c>
      <c r="E18">
        <f>E17*E2</f>
        <v>1171.67804</v>
      </c>
      <c r="F18">
        <f t="shared" ref="F18:I18" si="17">F17*F2</f>
        <v>1317.1655515199998</v>
      </c>
      <c r="G18">
        <f t="shared" si="17"/>
        <v>1471.2584249825281</v>
      </c>
      <c r="H18">
        <f t="shared" si="17"/>
        <v>1633.0115613871289</v>
      </c>
      <c r="I18">
        <f t="shared" si="17"/>
        <v>1795.6551289776323</v>
      </c>
    </row>
    <row r="19" spans="1:10" x14ac:dyDescent="0.25">
      <c r="A19" t="s">
        <v>99</v>
      </c>
      <c r="B19" s="26">
        <f>Analysis!B15</f>
        <v>2244</v>
      </c>
      <c r="C19" s="26">
        <f>Analysis!C15</f>
        <v>2829</v>
      </c>
      <c r="D19" s="26">
        <f>Analysis!D15</f>
        <v>1814</v>
      </c>
      <c r="E19">
        <f>Analysis!$F$18*DCF!E2/365+Analysis!$F$19*(DCF!E2-DCF!E5)/365-Analysis!$F$20*(DCF!E2-DCF!E5)/365</f>
        <v>2465.2461910906723</v>
      </c>
      <c r="F19">
        <f>Analysis!$F$18*DCF!F2/365+Analysis!$F$19*(DCF!F2-DCF!F5)/365-Analysis!$F$20*(DCF!F2-DCF!F5)/365</f>
        <v>2553.9950539699357</v>
      </c>
      <c r="G19">
        <f>Analysis!$F$18*DCF!G2/365+Analysis!$F$19*(DCF!G2-DCF!G5)/365-Analysis!$F$20*(DCF!G2-DCF!G5)/365</f>
        <v>2635.7228956969757</v>
      </c>
      <c r="H19">
        <f>Analysis!$F$18*DCF!H2/365+Analysis!$F$19*(DCF!H2-DCF!H5)/365-Analysis!$F$20*(DCF!H2-DCF!H5)/365</f>
        <v>2709.5231367764909</v>
      </c>
      <c r="I19">
        <f>Analysis!$F$18*DCF!I2/365+Analysis!$F$19*(DCF!I2-DCF!I5)/365-Analysis!$F$20*(DCF!I2-DCF!I5)/365</f>
        <v>2774.5516920591263</v>
      </c>
    </row>
    <row r="20" spans="1:10" x14ac:dyDescent="0.25">
      <c r="A20" t="s">
        <v>90</v>
      </c>
      <c r="B20">
        <f>Analysis!B16</f>
        <v>-6229</v>
      </c>
      <c r="C20">
        <f>Analysis!C16</f>
        <v>-8507</v>
      </c>
      <c r="D20">
        <f>Analysis!D16</f>
        <v>-7256</v>
      </c>
      <c r="E20">
        <f>Analysis!$F$17*DCF!E2</f>
        <v>-7782.2555663962103</v>
      </c>
      <c r="F20">
        <f>Analysis!$F$17*DCF!F2</f>
        <v>-8062.416766786474</v>
      </c>
      <c r="G20">
        <f>Analysis!$F$17*DCF!G2</f>
        <v>-8320.414103323641</v>
      </c>
      <c r="H20">
        <f>Analysis!$F$17*DCF!H2</f>
        <v>-8553.3856982167035</v>
      </c>
      <c r="I20">
        <f>Analysis!$F$17*DCF!I2</f>
        <v>-8758.6669549739054</v>
      </c>
    </row>
    <row r="21" spans="1:10" x14ac:dyDescent="0.25">
      <c r="A21" t="s">
        <v>100</v>
      </c>
      <c r="B21" s="25">
        <f>B19+B20</f>
        <v>-3985</v>
      </c>
      <c r="C21" s="25">
        <f t="shared" ref="C21:I21" si="18">C19+C20</f>
        <v>-5678</v>
      </c>
      <c r="D21" s="25">
        <f t="shared" si="18"/>
        <v>-5442</v>
      </c>
      <c r="E21" s="25">
        <f t="shared" si="18"/>
        <v>-5317.009375305538</v>
      </c>
      <c r="F21" s="25">
        <f t="shared" si="18"/>
        <v>-5508.4217128165383</v>
      </c>
      <c r="G21" s="25">
        <f t="shared" si="18"/>
        <v>-5684.6912076266653</v>
      </c>
      <c r="H21" s="25">
        <f t="shared" si="18"/>
        <v>-5843.8625614402126</v>
      </c>
      <c r="I21" s="25">
        <f t="shared" si="18"/>
        <v>-5984.1152629147791</v>
      </c>
    </row>
    <row r="22" spans="1:10" x14ac:dyDescent="0.25">
      <c r="A22" t="s">
        <v>101</v>
      </c>
      <c r="C22" s="25">
        <f>C21-B21</f>
        <v>-1693</v>
      </c>
      <c r="D22" s="25">
        <f t="shared" ref="D22:I22" si="19">D21-C21</f>
        <v>236</v>
      </c>
      <c r="E22" s="25">
        <f t="shared" si="19"/>
        <v>124.99062469446199</v>
      </c>
      <c r="F22" s="25">
        <f t="shared" si="19"/>
        <v>-191.41233751100026</v>
      </c>
      <c r="G22" s="25">
        <f t="shared" si="19"/>
        <v>-176.26949481012707</v>
      </c>
      <c r="H22" s="25">
        <f t="shared" si="19"/>
        <v>-159.17135381354728</v>
      </c>
      <c r="I22" s="25">
        <f t="shared" si="19"/>
        <v>-140.25270147456649</v>
      </c>
    </row>
    <row r="23" spans="1:10" x14ac:dyDescent="0.25">
      <c r="C23" s="25"/>
      <c r="D23" s="25"/>
      <c r="E23" s="25"/>
      <c r="F23" s="25"/>
      <c r="G23" s="25"/>
      <c r="H23" s="25"/>
      <c r="I23" s="25"/>
    </row>
    <row r="24" spans="1:10" x14ac:dyDescent="0.25">
      <c r="A24" t="s">
        <v>117</v>
      </c>
      <c r="B24" s="23">
        <f>WACC!B15</f>
        <v>6.5812396810208465E-2</v>
      </c>
    </row>
    <row r="25" spans="1:10" x14ac:dyDescent="0.25">
      <c r="A25" t="s">
        <v>126</v>
      </c>
      <c r="B25" s="23">
        <v>0.02</v>
      </c>
      <c r="J25" t="s">
        <v>125</v>
      </c>
    </row>
    <row r="26" spans="1:10" x14ac:dyDescent="0.25">
      <c r="A26" t="s">
        <v>102</v>
      </c>
      <c r="E26" s="25">
        <f>E14+E18-E16-E22</f>
        <v>11037.748158052927</v>
      </c>
      <c r="F26" s="25">
        <f>F14+F18-F16-F22</f>
        <v>11936.797145077293</v>
      </c>
      <c r="G26" s="25">
        <f>G14+G18-G16-G22</f>
        <v>12516.063121378991</v>
      </c>
      <c r="H26" s="25">
        <f>H14+H18-H16-H22</f>
        <v>13047.235670957631</v>
      </c>
      <c r="I26" s="25">
        <f>I14+I18-I16-I22</f>
        <v>13545.253186518148</v>
      </c>
      <c r="J26" s="25">
        <f>I26*(1+B25)/(B24-B25)</f>
        <v>301581.21408679127</v>
      </c>
    </row>
    <row r="27" spans="1:10" x14ac:dyDescent="0.25">
      <c r="A27" t="s">
        <v>122</v>
      </c>
      <c r="E27" s="13">
        <f>E26/E2</f>
        <v>0.2213808511032978</v>
      </c>
      <c r="F27" s="13">
        <f>F26/F2</f>
        <v>0.23109344671837867</v>
      </c>
      <c r="G27" s="13">
        <f>G26/G2</f>
        <v>0.23479447001580464</v>
      </c>
      <c r="H27" s="13">
        <f>H26/H2</f>
        <v>0.23809238843616792</v>
      </c>
      <c r="I27" s="13">
        <f>I26/I2</f>
        <v>0.24138716559419021</v>
      </c>
    </row>
    <row r="28" spans="1:10" x14ac:dyDescent="0.25">
      <c r="A28" t="s">
        <v>123</v>
      </c>
      <c r="E28" s="28">
        <v>0.5</v>
      </c>
      <c r="F28">
        <f>E28+1</f>
        <v>1.5</v>
      </c>
      <c r="G28">
        <f t="shared" ref="G28:I28" si="20">F28+1</f>
        <v>2.5</v>
      </c>
      <c r="H28">
        <f t="shared" si="20"/>
        <v>3.5</v>
      </c>
      <c r="I28">
        <f t="shared" si="20"/>
        <v>4.5</v>
      </c>
      <c r="J28" s="30">
        <f>I28</f>
        <v>4.5</v>
      </c>
    </row>
    <row r="29" spans="1:10" x14ac:dyDescent="0.25">
      <c r="A29" t="s">
        <v>124</v>
      </c>
      <c r="E29">
        <f>1/(1+$B$24)^E28</f>
        <v>0.96863379298664987</v>
      </c>
      <c r="F29">
        <f t="shared" ref="F29:J29" si="21">1/(1+$B$24)^F28</f>
        <v>0.90882203649122761</v>
      </c>
      <c r="G29">
        <f t="shared" si="21"/>
        <v>0.85270357073268621</v>
      </c>
      <c r="H29">
        <f t="shared" si="21"/>
        <v>0.80005034027065192</v>
      </c>
      <c r="I29">
        <f t="shared" si="21"/>
        <v>0.75064837176323307</v>
      </c>
      <c r="J29">
        <f t="shared" si="21"/>
        <v>0.75064837176323307</v>
      </c>
    </row>
    <row r="30" spans="1:10" x14ac:dyDescent="0.25">
      <c r="A30" t="s">
        <v>127</v>
      </c>
      <c r="E30">
        <f>E26*E29</f>
        <v>10691.535864366215</v>
      </c>
      <c r="F30">
        <f t="shared" ref="F30:I30" si="22">F26*F29</f>
        <v>10848.424290571817</v>
      </c>
      <c r="G30">
        <f t="shared" si="22"/>
        <v>10672.491715115555</v>
      </c>
      <c r="H30">
        <f t="shared" si="22"/>
        <v>10438.44533814104</v>
      </c>
      <c r="I30">
        <f t="shared" si="22"/>
        <v>10167.722249580593</v>
      </c>
      <c r="J30">
        <f>J26*J29</f>
        <v>226381.44730862888</v>
      </c>
    </row>
    <row r="32" spans="1:10" x14ac:dyDescent="0.25">
      <c r="A32" t="s">
        <v>128</v>
      </c>
      <c r="B32">
        <f>SUM(E30:J30)</f>
        <v>279200.06676640408</v>
      </c>
    </row>
    <row r="33" spans="1:2" x14ac:dyDescent="0.25">
      <c r="A33" t="s">
        <v>129</v>
      </c>
      <c r="B33" s="13">
        <f>J30/B32</f>
        <v>0.81082160878576548</v>
      </c>
    </row>
    <row r="34" spans="1:2" x14ac:dyDescent="0.25">
      <c r="A34" t="s">
        <v>130</v>
      </c>
      <c r="B34">
        <f>WACC!E6-Storico!D37-Storico!D38-Storico!D39</f>
        <v>29686</v>
      </c>
    </row>
    <row r="35" spans="1:2" x14ac:dyDescent="0.25">
      <c r="A35" t="s">
        <v>134</v>
      </c>
      <c r="B35">
        <f>Storico!D53</f>
        <v>2106</v>
      </c>
    </row>
    <row r="36" spans="1:2" x14ac:dyDescent="0.25">
      <c r="A36" t="s">
        <v>135</v>
      </c>
      <c r="B36">
        <f>Storico!D44</f>
        <v>20235</v>
      </c>
    </row>
    <row r="37" spans="1:2" x14ac:dyDescent="0.25">
      <c r="A37" t="s">
        <v>131</v>
      </c>
      <c r="B37">
        <f>B32-B34-B35+B36</f>
        <v>267643.06676640408</v>
      </c>
    </row>
    <row r="38" spans="1:2" x14ac:dyDescent="0.25">
      <c r="A38" t="s">
        <v>137</v>
      </c>
      <c r="B38" s="28">
        <v>27</v>
      </c>
    </row>
    <row r="39" spans="1:2" x14ac:dyDescent="0.25">
      <c r="A39" t="s">
        <v>140</v>
      </c>
      <c r="B39" s="28">
        <v>55.74</v>
      </c>
    </row>
    <row r="40" spans="1:2" x14ac:dyDescent="0.25">
      <c r="A40" t="s">
        <v>141</v>
      </c>
      <c r="B40" s="25">
        <f>MAX(0,B38*(1-B39/B45))</f>
        <v>5.4726076383922155</v>
      </c>
    </row>
    <row r="41" spans="1:2" x14ac:dyDescent="0.25">
      <c r="A41" t="s">
        <v>138</v>
      </c>
      <c r="B41" s="28">
        <v>2.62</v>
      </c>
    </row>
    <row r="42" spans="1:2" x14ac:dyDescent="0.25">
      <c r="A42" t="s">
        <v>139</v>
      </c>
      <c r="B42" s="28">
        <v>4.5359999999999996</v>
      </c>
    </row>
    <row r="43" spans="1:2" x14ac:dyDescent="0.25">
      <c r="A43" t="s">
        <v>144</v>
      </c>
      <c r="B43" s="31">
        <f>SUM(B40:B42,Storico!D59)</f>
        <v>4314.6286076383922</v>
      </c>
    </row>
    <row r="44" spans="1:2" x14ac:dyDescent="0.25">
      <c r="A44" t="s">
        <v>143</v>
      </c>
      <c r="B44" s="34">
        <f>B37/B43</f>
        <v>62.031542249681195</v>
      </c>
    </row>
    <row r="45" spans="1:2" x14ac:dyDescent="0.25">
      <c r="A45" t="s">
        <v>142</v>
      </c>
      <c r="B45" s="34">
        <f>WACC!E3</f>
        <v>69.91</v>
      </c>
    </row>
    <row r="46" spans="1:2" x14ac:dyDescent="0.25">
      <c r="A46" t="s">
        <v>136</v>
      </c>
      <c r="B46" s="13">
        <f>B44/B45-1</f>
        <v>-0.11269428909052781</v>
      </c>
    </row>
    <row r="47" spans="1:2" x14ac:dyDescent="0.25">
      <c r="B47" s="13"/>
    </row>
    <row r="48" spans="1:2" x14ac:dyDescent="0.25">
      <c r="A48" s="14" t="s">
        <v>145</v>
      </c>
      <c r="B48" s="13"/>
    </row>
    <row r="49" spans="1:6" x14ac:dyDescent="0.25">
      <c r="A49" s="33">
        <f>B44</f>
        <v>62.031542249681195</v>
      </c>
      <c r="B49" s="36">
        <f>C49-0.25%</f>
        <v>1.5000000000000001E-2</v>
      </c>
      <c r="C49" s="36">
        <f>D49-0.25%</f>
        <v>1.7500000000000002E-2</v>
      </c>
      <c r="D49" s="36">
        <v>0.02</v>
      </c>
      <c r="E49" s="36">
        <f>D49+0.25%</f>
        <v>2.2499999999999999E-2</v>
      </c>
      <c r="F49" s="36">
        <f>E49+0.25%</f>
        <v>2.4999999999999998E-2</v>
      </c>
    </row>
    <row r="50" spans="1:6" x14ac:dyDescent="0.25">
      <c r="A50" s="32">
        <f>A51-0.5%</f>
        <v>5.581239681020847E-2</v>
      </c>
      <c r="B50" s="35">
        <f t="dataTable" ref="B50:F54" dt2D="1" dtr="1" r1="B25" r2="B24"/>
        <v>71.000257152717055</v>
      </c>
      <c r="C50" s="35">
        <v>75.15074020811862</v>
      </c>
      <c r="D50" s="35">
        <v>79.880699007268575</v>
      </c>
      <c r="E50" s="35">
        <v>85.320597536378216</v>
      </c>
      <c r="F50" s="35">
        <v>91.64324117658991</v>
      </c>
    </row>
    <row r="51" spans="1:6" ht="15.75" thickBot="1" x14ac:dyDescent="0.3">
      <c r="A51" s="32">
        <f>A52-0.5%</f>
        <v>6.0812396810208467E-2</v>
      </c>
      <c r="B51" s="35">
        <v>63.034345814625233</v>
      </c>
      <c r="C51" s="35">
        <v>66.251363393705276</v>
      </c>
      <c r="D51" s="35">
        <v>69.862503571617268</v>
      </c>
      <c r="E51" s="35">
        <v>73.944919430322727</v>
      </c>
      <c r="F51" s="35">
        <v>78.597307731858606</v>
      </c>
    </row>
    <row r="52" spans="1:6" ht="15.75" thickBot="1" x14ac:dyDescent="0.3">
      <c r="A52" s="32">
        <f>WACC!B15</f>
        <v>6.5812396810208465E-2</v>
      </c>
      <c r="B52" s="35">
        <v>56.636705187626056</v>
      </c>
      <c r="C52" s="35">
        <v>59.19454160779167</v>
      </c>
      <c r="D52" s="37">
        <v>62.031542249681195</v>
      </c>
      <c r="E52" s="35">
        <v>65.196047353436541</v>
      </c>
      <c r="F52" s="35">
        <v>68.748241658400985</v>
      </c>
    </row>
    <row r="53" spans="1:6" x14ac:dyDescent="0.25">
      <c r="A53" s="32">
        <f>A52+0.5%</f>
        <v>7.0812396810208469E-2</v>
      </c>
      <c r="B53" s="35">
        <v>51.38583583058125</v>
      </c>
      <c r="C53" s="35">
        <v>53.461838796859936</v>
      </c>
      <c r="D53" s="35">
        <v>55.742122912681012</v>
      </c>
      <c r="E53" s="35">
        <v>58.258400714012964</v>
      </c>
      <c r="F53" s="35">
        <v>61.04930699764811</v>
      </c>
    </row>
    <row r="54" spans="1:6" x14ac:dyDescent="0.25">
      <c r="A54" s="32">
        <f>A53+0.5%</f>
        <v>7.5812396810208474E-2</v>
      </c>
      <c r="B54" s="35">
        <v>46.998861566894725</v>
      </c>
      <c r="C54" s="35">
        <v>48.712632602028251</v>
      </c>
      <c r="D54" s="35">
        <v>50.579933241074073</v>
      </c>
      <c r="E54" s="35">
        <v>52.622362063316508</v>
      </c>
      <c r="F54" s="35">
        <v>54.865768299581667</v>
      </c>
    </row>
  </sheetData>
  <conditionalFormatting sqref="B50:F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D418-34EF-419B-B61B-8E4ECE6BC9C7}">
  <dimension ref="A1:N15"/>
  <sheetViews>
    <sheetView zoomScale="145" workbookViewId="0">
      <selection activeCell="B15" sqref="B15"/>
    </sheetView>
  </sheetViews>
  <sheetFormatPr defaultRowHeight="15" x14ac:dyDescent="0.25"/>
  <cols>
    <col min="1" max="1" width="30.85546875" bestFit="1" customWidth="1"/>
    <col min="2" max="2" width="9.140625" customWidth="1"/>
    <col min="3" max="3" width="11.42578125" bestFit="1" customWidth="1"/>
    <col min="4" max="4" width="30.85546875" bestFit="1" customWidth="1"/>
    <col min="5" max="5" width="12.42578125" bestFit="1" customWidth="1"/>
    <col min="10" max="10" width="14.7109375" bestFit="1" customWidth="1"/>
    <col min="13" max="13" width="16.5703125" bestFit="1" customWidth="1"/>
  </cols>
  <sheetData>
    <row r="1" spans="1:14" x14ac:dyDescent="0.25">
      <c r="A1" s="14" t="s">
        <v>103</v>
      </c>
      <c r="B1" s="23">
        <f>H1+E1*N1</f>
        <v>7.0307952876076774E-2</v>
      </c>
      <c r="D1" t="s">
        <v>111</v>
      </c>
      <c r="E1" s="25">
        <f>E2*(1+(1-K1)*E7)</f>
        <v>0.64524558018109357</v>
      </c>
      <c r="G1" t="s">
        <v>104</v>
      </c>
      <c r="H1" s="22">
        <v>4.1529999999999997E-2</v>
      </c>
      <c r="J1" t="s">
        <v>110</v>
      </c>
      <c r="K1" s="22">
        <v>0.25629999999999997</v>
      </c>
      <c r="M1" t="s">
        <v>112</v>
      </c>
      <c r="N1" s="22">
        <v>4.4600000000000001E-2</v>
      </c>
    </row>
    <row r="2" spans="1:14" x14ac:dyDescent="0.25">
      <c r="B2" s="23"/>
      <c r="D2" t="s">
        <v>105</v>
      </c>
      <c r="E2" s="28">
        <v>0.57999999999999996</v>
      </c>
    </row>
    <row r="3" spans="1:14" x14ac:dyDescent="0.25">
      <c r="D3" t="s">
        <v>106</v>
      </c>
      <c r="E3" s="28">
        <v>69.91</v>
      </c>
    </row>
    <row r="4" spans="1:14" x14ac:dyDescent="0.25">
      <c r="D4" t="s">
        <v>107</v>
      </c>
      <c r="E4" s="27">
        <f>Storico!D59</f>
        <v>4302</v>
      </c>
    </row>
    <row r="5" spans="1:14" x14ac:dyDescent="0.25">
      <c r="D5" t="s">
        <v>108</v>
      </c>
      <c r="E5">
        <f>E3*E4</f>
        <v>300752.82</v>
      </c>
    </row>
    <row r="6" spans="1:14" x14ac:dyDescent="0.25">
      <c r="D6" t="s">
        <v>132</v>
      </c>
      <c r="E6">
        <f>Storico!D48+Storico!D49+Storico!D52</f>
        <v>45492</v>
      </c>
    </row>
    <row r="7" spans="1:14" x14ac:dyDescent="0.25">
      <c r="D7" t="s">
        <v>109</v>
      </c>
      <c r="E7">
        <f>E6/E5</f>
        <v>0.15126042708427473</v>
      </c>
    </row>
    <row r="9" spans="1:14" x14ac:dyDescent="0.25">
      <c r="A9" s="14" t="s">
        <v>113</v>
      </c>
      <c r="B9" s="23">
        <f>E9*(1-K1)</f>
        <v>3.6091761E-2</v>
      </c>
      <c r="D9" t="s">
        <v>116</v>
      </c>
      <c r="E9" s="23">
        <f>H1+B13</f>
        <v>4.8529999999999997E-2</v>
      </c>
    </row>
    <row r="10" spans="1:14" x14ac:dyDescent="0.25">
      <c r="A10" t="s">
        <v>114</v>
      </c>
      <c r="B10">
        <f>Storico!D11/Storico!D16</f>
        <v>8.3204353083434093</v>
      </c>
    </row>
    <row r="11" spans="1:14" x14ac:dyDescent="0.25">
      <c r="A11" t="s">
        <v>118</v>
      </c>
      <c r="B11" s="22">
        <v>5.4999999999999997E-3</v>
      </c>
    </row>
    <row r="12" spans="1:14" x14ac:dyDescent="0.25">
      <c r="A12" t="s">
        <v>133</v>
      </c>
      <c r="B12" s="29" t="s">
        <v>115</v>
      </c>
    </row>
    <row r="13" spans="1:14" x14ac:dyDescent="0.25">
      <c r="A13" t="s">
        <v>119</v>
      </c>
      <c r="B13" s="22">
        <v>7.0000000000000001E-3</v>
      </c>
      <c r="C13" t="s">
        <v>120</v>
      </c>
      <c r="D13" s="13">
        <f>E5/(E6+E5)</f>
        <v>0.86861319687035321</v>
      </c>
    </row>
    <row r="14" spans="1:14" x14ac:dyDescent="0.25">
      <c r="C14" t="s">
        <v>121</v>
      </c>
      <c r="D14" s="13">
        <f>E6/(E5+E6)</f>
        <v>0.13138680312964682</v>
      </c>
    </row>
    <row r="15" spans="1:14" x14ac:dyDescent="0.25">
      <c r="A15" s="14" t="s">
        <v>117</v>
      </c>
      <c r="B15" s="13">
        <f>B1*D13+B9*D14</f>
        <v>6.5812396810208465E-2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Storico</vt:lpstr>
      <vt:lpstr>Analysis</vt:lpstr>
      <vt:lpstr>DCF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Fioretto</dc:creator>
  <cp:lastModifiedBy>Emanuele Fioretto</cp:lastModifiedBy>
  <dcterms:created xsi:type="dcterms:W3CDTF">2026-10-05T21:54:21Z</dcterms:created>
  <dcterms:modified xsi:type="dcterms:W3CDTF">2026-10-12T19:21:48Z</dcterms:modified>
</cp:coreProperties>
</file>